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d724bebaa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cb521270756544ff"/>
    <x:sheet xmlns:r="http://schemas.openxmlformats.org/officeDocument/2006/relationships" name="弹击明细" sheetId="2" r:id="Re46a608dd912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[m]:ss.000"/>
  </x:numFmts>
  <x:fonts count="10">
    <x:font>
      <x:sz val="11"/>
      <x:name val="Carlito"/>
    </x:font>
    <x:font>
      <x:sz val="10"/>
      <x:color rgb="FF233044"/>
      <x:name val="Microsoft YaHei UI"/>
    </x:font>
    <x:font>
      <x:b/>
      <x:sz val="20"/>
      <x:color rgb="FFFFFFFF"/>
      <x:name val="Microsoft YaHei UI"/>
    </x:font>
    <x:font>
      <x:sz val="10"/>
      <x:color rgb="FF41566B"/>
      <x:name val="Microsoft YaHei UI"/>
    </x:font>
    <x:font>
      <x:b/>
      <x:sz val="10"/>
      <x:color rgb="FF334E68"/>
      <x:name val="Microsoft YaHei UI"/>
    </x:font>
    <x:font>
      <x:b/>
      <x:sz val="10"/>
      <x:color rgb="FF7A4F01"/>
      <x:name val="Microsoft YaHei UI"/>
    </x:font>
    <x:font>
      <x:sz val="10"/>
      <x:color rgb="FF6B4F18"/>
      <x:name val="Microsoft YaHei UI"/>
    </x:font>
    <x:font>
      <x:sz val="8"/>
      <x:color rgb="FF64748B"/>
      <x:name val="Consolas"/>
    </x:font>
    <x:font>
      <x:sz val="10"/>
      <x:color rgb="FF25364A"/>
      <x:name val="Microsoft YaHei UI"/>
    </x:font>
    <x:font>
      <x:b/>
      <x:sz val="10"/>
      <x:color rgb="FFFFFFFF"/>
      <x:name val="Microsoft YaHei U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7"/>
      </x:patternFill>
    </x:fill>
    <x:fill>
      <x:patternFill patternType="solid">
        <x:fgColor rgb="FFEFF4F8"/>
      </x:patternFill>
    </x:fill>
    <x:fill>
      <x:patternFill patternType="solid">
        <x:fgColor rgb="FFFFF3CD"/>
      </x:patternFill>
    </x:fill>
    <x:fill>
      <x:patternFill patternType="solid">
        <x:fgColor rgb="FFFFF7E8"/>
      </x:patternFill>
    </x:fill>
  </x:fills>
  <x:borders count="15">
    <x:border/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AABAC8"/>
      </x:bottom>
    </x:border>
    <x:border>
      <x:left style="thin">
        <x:color rgb="FFE7C77A"/>
      </x:left>
      <x:top style="thin">
        <x:color rgb="FFE7C77A"/>
      </x:top>
    </x:border>
    <x:border>
      <x:top style="thin">
        <x:color rgb="FFE7C77A"/>
      </x:top>
    </x:border>
    <x:border>
      <x:right style="thin">
        <x:color rgb="FFE7C77A"/>
      </x:right>
      <x:top style="thin">
        <x:color rgb="FFE7C77A"/>
      </x:top>
    </x:border>
    <x:border>
      <x:left style="thin">
        <x:color rgb="FFE7C77A"/>
      </x:left>
    </x:border>
    <x:border>
      <x:right style="thin">
        <x:color rgb="FFE7C77A"/>
      </x:right>
    </x:border>
    <x:border>
      <x:left style="thin">
        <x:color rgb="FFE7C77A"/>
      </x:left>
      <x:bottom style="thin">
        <x:color rgb="FFE7C77A"/>
      </x:bottom>
    </x:border>
    <x:border>
      <x:bottom style="thin">
        <x:color rgb="FFE7C77A"/>
      </x:bottom>
    </x:border>
    <x:border>
      <x:right style="thin">
        <x:color rgb="FFE7C77A"/>
      </x:right>
      <x:bottom style="thin">
        <x:color rgb="FFE7C77A"/>
      </x:bottom>
    </x:border>
    <x:border>
      <x:bottom style="thin">
        <x:color rgb="FFE4EAF0"/>
      </x:bottom>
    </x:border>
    <x:border>
      <x:top style="thin">
        <x:color rgb="FFE4EAF0"/>
      </x:top>
      <x:bottom style="thin">
        <x:color rgb="FFE4EAF0"/>
      </x:bottom>
    </x:border>
    <x:border>
      <x:top style="thin">
        <x:color rgb="FFE4EAF0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1" fillId="0" borderId="1" xfId="0" applyNumberFormat="1" applyFont="1" applyFill="1" applyBorder="1"/>
    <x:xf numFmtId="0" fontId="4" fillId="4" borderId="2" xfId="0" applyNumberFormat="1" applyFont="1" applyFill="1" applyBorder="1"/>
    <x:xf numFmtId="0" fontId="1" fillId="0" borderId="2" xfId="0" applyNumberFormat="1" applyFont="1" applyFill="1" applyBorder="1"/>
    <x:xf numFmtId="0" fontId="4" fillId="4" borderId="3" xfId="0" applyNumberFormat="1" applyFont="1" applyFill="1" applyBorder="1"/>
    <x:xf numFmtId="0" fontId="1" fillId="0" borderId="3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5" borderId="2" xfId="0" applyNumberFormat="1" applyFont="1" applyFill="1" applyBorder="1"/>
    <x:xf numFmtId="201" fontId="5" fillId="5" borderId="2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/>
    <x:xf numFmtId="202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horizontal="right"/>
    </x:xf>
    <x:xf numFmtId="202" fontId="8" fillId="0" borderId="0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 applyAlignment="1">
      <x:alignment horizontal="right"/>
    </x:xf>
    <x:xf numFmtId="202" fontId="8" fillId="0" borderId="12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0" fontId="8" fillId="0" borderId="12" xfId="0" applyNumberFormat="1" applyFont="1" applyFill="1" applyBorder="1" applyAlignment="1">
      <x:alignment horizontal="center"/>
    </x:xf>
    <x:xf numFmtId="200" fontId="8" fillId="0" borderId="13" xfId="0" applyNumberFormat="1" applyFont="1" applyFill="1" applyBorder="1" applyAlignment="1">
      <x:alignment horizontal="right"/>
    </x:xf>
    <x:xf numFmtId="202" fontId="8" fillId="0" borderId="13" xfId="0" applyNumberFormat="1" applyFont="1" applyFill="1" applyBorder="1" applyAlignment="1">
      <x:alignment horizontal="right"/>
    </x:xf>
    <x:xf numFmtId="201" fontId="8" fillId="0" borderId="13" xfId="0" applyNumberFormat="1" applyFont="1" applyFill="1" applyBorder="1" applyAlignment="1">
      <x:alignment horizontal="right"/>
    </x:xf>
    <x:xf numFmtId="0" fontId="8" fillId="0" borderId="13" xfId="0" applyNumberFormat="1" applyFont="1" applyFill="1" applyBorder="1" applyAlignment="1">
      <x:alignment horizontal="center"/>
    </x:xf>
    <x:xf numFmtId="200" fontId="8" fillId="0" borderId="14" xfId="0" applyNumberFormat="1" applyFont="1" applyFill="1" applyBorder="1" applyAlignment="1">
      <x:alignment horizontal="right"/>
    </x:xf>
    <x:xf numFmtId="202" fontId="8" fillId="0" borderId="14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f52707bd24dfd" /><Relationship Type="http://schemas.openxmlformats.org/officeDocument/2006/relationships/theme" Target="/xl/theme/theme1.xml" Id="Rd4c7db7adaeb4487" /><Relationship Type="http://schemas.openxmlformats.org/officeDocument/2006/relationships/sharedStrings" Target="/xl/sharedStrings.xml" Id="R5dc5b5208da3437f" /><Relationship Type="http://schemas.openxmlformats.org/officeDocument/2006/relationships/worksheet" Target="/xl/worksheets/sheet1.xml" Id="Rcb521270756544ff" /><Relationship Type="http://schemas.openxmlformats.org/officeDocument/2006/relationships/worksheet" Target="/xl/worksheets/sheet2.xml" Id="Re46a608dd9124969" /></Relationships>
</file>

<file path=xl/tables/table1.xml><?xml version="1.0" encoding="utf-8"?>
<x:table xmlns:x="http://schemas.openxmlformats.org/spreadsheetml/2006/main" id="1" name="BounceEventsTable" displayName="BounceEventsTable" ref="A1:I151" headerRowCount="1" totalsRowCount="0" totalsRowShown="0">
  <x:autoFilter ref="A1:I151"/>
  <x:tableColumns count="9">
    <x:tableColumn id="1" name="序号"/>
    <x:tableColumn id="2" name="回合编号"/>
    <x:tableColumn id="3" name="回合内板序"/>
    <x:tableColumn id="4" name="帧号"/>
    <x:tableColumn id="5" name="视频时间"/>
    <x:tableColumn id="6" name="时间戳（秒）"/>
    <x:tableColumn id="7" name="距全视频上一板（秒）"/>
    <x:tableColumn id="8" name="距同回合上一板（秒）"/>
    <x:tableColumn id="9" name="事件归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c70d79aac645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22" hidden="0" customWidth="1"/>
    <x:col min="4" max="4" width="22" hidden="0" customWidth="1"/>
  </x:cols>
  <x:sheetData>
    <x:row r="1" ht="34" customHeight="1">
      <x:c r="A1" s="4" t="str">
        <x:v>乒乓球弹击时间差明细</x:v>
      </x:c>
      <x:c r="B1" s="4"/>
      <x:c r="C1" s="4"/>
      <x:c r="D1" s="4"/>
    </x:row>
    <x:row r="2" ht="24" customHeight="1">
      <x:c r="A2" s="7" t="str">
        <x:v>当前 TTcut 280×160 ROI 与 0.315 秒防抖结果；全部候选按视频时间升序排列</x:v>
      </x:c>
      <x:c r="B2" s="7"/>
      <x:c r="C2" s="7"/>
      <x:c r="D2" s="7"/>
    </x:row>
    <x:row r="3">
      <x:c r="A3" s="1"/>
      <x:c r="B3" s="1"/>
      <x:c r="C3" s="1"/>
      <x:c r="D3" s="1"/>
    </x:row>
    <x:row r="4" ht="34" customHeight="1">
      <x:c r="A4" s="10" t="str">
        <x:v>源视频</x:v>
      </x:c>
      <x:c r="B4" s="34" t="str">
        <x:v>D:\DOCUMENTS\TrackNetV3_TableTennis\testvideoes\Maharu Yoshimura vs Andrej Gacina - MS Final - WTT Feeder Istanbul 2026.mp4</x:v>
      </x:c>
      <x:c r="C4" s="35"/>
      <x:c r="D4" s="35"/>
    </x:row>
    <x:row r="5">
      <x:c r="A5" s="12" t="str">
        <x:v>分析配置</x:v>
      </x:c>
      <x:c r="B5" s="13" t="str">
        <x:v>TrackNet / ROI 280×160</x:v>
      </x:c>
      <x:c r="C5" s="1"/>
      <x:c r="D5" s="1"/>
    </x:row>
    <x:row r="6">
      <x:c r="A6" s="12" t="str">
        <x:v>视频帧率（FPS）</x:v>
      </x:c>
      <x:c r="B6" s="16" t="n">
        <x:v>60</x:v>
      </x:c>
      <x:c r="C6" s="1"/>
      <x:c r="D6" s="1"/>
    </x:row>
    <x:row r="7">
      <x:c r="A7" s="12" t="str">
        <x:v>视频总帧数</x:v>
      </x:c>
      <x:c r="B7" s="16" t="n">
        <x:v>20131</x:v>
      </x:c>
      <x:c r="C7" s="1"/>
      <x:c r="D7" s="1"/>
    </x:row>
    <x:row r="8">
      <x:c r="A8" s="12" t="str">
        <x:v>弹击候选总数</x:v>
      </x:c>
      <x:c r="B8" s="16" t="n">
        <x:f>COUNTA('弹击明细'!$A$2:$A$151)</x:f>
        <x:v>150</x:v>
      </x:c>
      <x:c r="C8" s="1"/>
      <x:c r="D8" s="1"/>
    </x:row>
    <x:row r="9">
      <x:c r="A9" s="12" t="str">
        <x:v>有效回合数</x:v>
      </x:c>
      <x:c r="B9" s="16" t="n">
        <x:v>40</x:v>
      </x:c>
      <x:c r="C9" s="1"/>
      <x:c r="D9" s="1"/>
    </x:row>
    <x:row r="10">
      <x:c r="A10" s="12" t="str">
        <x:v>回合内相邻对数</x:v>
      </x:c>
      <x:c r="B10" s="16" t="n">
        <x:f>COUNT('弹击明细'!$H$2:$H$151)</x:f>
        <x:v>107</x:v>
      </x:c>
      <x:c r="C10" s="1"/>
      <x:c r="D10" s="1"/>
    </x:row>
    <x:row r="11">
      <x:c r="A11" s="12" t="str">
        <x:v>短间隔标记阈值（秒）</x:v>
      </x:c>
      <x:c r="B11" s="20" t="n">
        <x:v>0.315</x:v>
      </x:c>
      <x:c r="C11" s="1"/>
      <x:c r="D11" s="1"/>
    </x:row>
    <x:row r="12">
      <x:c r="A12" s="12" t="str">
        <x:v>短于阈值的相邻对数</x:v>
      </x:c>
      <x:c r="B12" s="16" t="n">
        <x:f>COUNTIFS('弹击明细'!$H$2:$H$151,"&gt;0",'弹击明细'!$H$2:$H$151,"&lt;"&amp;B11)</x:f>
        <x:v>0</x:v>
      </x:c>
      <x:c r="C12" s="1"/>
      <x:c r="D12" s="1"/>
    </x:row>
    <x:row r="13">
      <x:c r="A13" s="12" t="str">
        <x:v>回合内平均间隔（秒）</x:v>
      </x:c>
      <x:c r="B13" s="17" t="n">
        <x:f>AVERAGE('弹击明细'!$H$2:$H$151)</x:f>
        <x:v>0.6998442523364488</x:v>
      </x:c>
      <x:c r="C13" s="1"/>
      <x:c r="D13" s="1"/>
    </x:row>
    <x:row r="14">
      <x:c r="A14" s="12" t="str">
        <x:v>回合内中位间隔（秒）</x:v>
      </x:c>
      <x:c r="B14" s="17" t="n">
        <x:f>MEDIAN('弹击明细'!$H$2:$H$151)</x:f>
        <x:v>0.566667</x:v>
      </x:c>
      <x:c r="C14" s="1"/>
      <x:c r="D14" s="1"/>
    </x:row>
    <x:row r="15">
      <x:c r="A15" s="12" t="str">
        <x:v>回合内最短间隔（秒）</x:v>
      </x:c>
      <x:c r="B15" s="17" t="n">
        <x:f>MIN('弹击明细'!$H$2:$H$151)</x:f>
        <x:v>0.316667</x:v>
      </x:c>
      <x:c r="C15" s="1"/>
      <x:c r="D15" s="1"/>
    </x:row>
    <x:row r="16">
      <x:c r="A16" s="14" t="str">
        <x:v>回合内最长间隔（秒）</x:v>
      </x:c>
      <x:c r="B16" s="18" t="n">
        <x:f>MAX('弹击明细'!$H$2:$H$151)</x:f>
        <x:v>2.966667</x:v>
      </x:c>
      <x:c r="C16" s="1"/>
      <x:c r="D16" s="1"/>
    </x:row>
    <x:row r="17">
      <x:c r="A17" s="1"/>
      <x:c r="B17" s="1"/>
      <x:c r="C17" s="1"/>
      <x:c r="D17" s="1"/>
    </x:row>
    <x:row r="18" ht="27" customHeight="1">
      <x:c r="A18" s="25" t="str">
        <x:v>说明：当前“板数”是弹跳候选代理，不是人工标注的真实球拍击球次数。</x:v>
      </x:c>
      <x:c r="B18" s="26"/>
      <x:c r="C18" s="26"/>
      <x:c r="D18" s="27"/>
    </x:row>
    <x:row r="19" ht="27" customHeight="1">
      <x:c r="A19" s="28" t="str">
        <x:v>“距全视频上一板”跨越回合停顿；排查连续计板时优先查看“距同回合上一板”。</x:v>
      </x:c>
      <x:c r="B19" s="24"/>
      <x:c r="C19" s="24"/>
      <x:c r="D19" s="29"/>
    </x:row>
    <x:row r="20" ht="27" customHeight="1">
      <x:c r="A20" s="30" t="str">
        <x:v>防抖规则：只与上一次已计入的弹击比较；间隔 &lt; 0.315 秒忽略，间隔 ≥ 0.315 秒保留。</x:v>
      </x:c>
      <x:c r="B20" s="31"/>
      <x:c r="C20" s="31"/>
      <x:c r="D20" s="32"/>
    </x:row>
    <x:row r="21">
      <x:c r="A21" s="33" t="str">
        <x:v>轨迹结果 SHA-256：2e70199cd0e8128f466f327f566a28d8a01ebd900a8490a854da4e65502edf59</x:v>
      </x:c>
      <x:c r="B21" s="33"/>
      <x:c r="C21" s="33"/>
      <x:c r="D21" s="33"/>
    </x:row>
  </x:sheetData>
  <x:mergeCells>
    <x:mergeCell ref="A1:D1"/>
    <x:mergeCell ref="A2:D2"/>
    <x:mergeCell ref="B4:D4"/>
    <x:mergeCell ref="A18:D18"/>
    <x:mergeCell ref="A19:D19"/>
    <x:mergeCell ref="A20:D20"/>
    <x:mergeCell ref="A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  <x:col min="9" max="9" width="14" hidden="0" customWidth="1"/>
  </x:cols>
  <x:sheetData>
    <x:row r="1" ht="34" customHeight="1">
      <x:c r="A1" s="41" t="str">
        <x:v>序号</x:v>
      </x:c>
      <x:c r="B1" s="41" t="str">
        <x:v>回合编号</x:v>
      </x:c>
      <x:c r="C1" s="41" t="str">
        <x:v>回合内板序</x:v>
      </x:c>
      <x:c r="D1" s="41" t="str">
        <x:v>帧号</x:v>
      </x:c>
      <x:c r="E1" s="41" t="str">
        <x:v>视频时间</x:v>
      </x:c>
      <x:c r="F1" s="41" t="str">
        <x:v>时间戳（秒）</x:v>
      </x:c>
      <x:c r="G1" s="41" t="str">
        <x:v>距全视频上一板（秒）</x:v>
      </x:c>
      <x:c r="H1" s="41" t="str">
        <x:v>距同回合上一板（秒）</x:v>
      </x:c>
      <x:c r="I1" s="41" t="str">
        <x:v>事件归属</x:v>
      </x:c>
    </x:row>
    <x:row r="2">
      <x:c r="A2" s="49" t="n">
        <x:v>1</x:v>
      </x:c>
      <x:c r="B2" s="49" t="n">
        <x:v>1</x:v>
      </x:c>
      <x:c r="C2" s="49" t="n">
        <x:v>1</x:v>
      </x:c>
      <x:c r="D2" s="49" t="n">
        <x:v>218</x:v>
      </x:c>
      <x:c r="E2" s="50" t="n">
        <x:f>F2/86400</x:f>
        <x:v>0.000042052465277777776</x:v>
      </x:c>
      <x:c r="F2" s="51" t="n">
        <x:f>ROUND(D2/'概览'!$B$6,6)</x:f>
        <x:v>3.633333</x:v>
      </x:c>
      <x:c r="G2" s="51" t="str">
        <x:f>""</x:f>
      </x:c>
      <x:c r="H2" s="51" t="str">
        <x:f>""</x:f>
      </x:c>
      <x:c r="I2" s="52" t="str">
        <x:v>有效回合</x:v>
      </x:c>
    </x:row>
    <x:row r="3">
      <x:c r="A3" s="53" t="n">
        <x:v>2</x:v>
      </x:c>
      <x:c r="B3" s="53" t="n">
        <x:v>1</x:v>
      </x:c>
      <x:c r="C3" s="53" t="n">
        <x:v>2</x:v>
      </x:c>
      <x:c r="D3" s="53" t="n">
        <x:v>253</x:v>
      </x:c>
      <x:c r="E3" s="54" t="n">
        <x:f>F3/86400</x:f>
        <x:v>0.000048804016203703705</x:v>
      </x:c>
      <x:c r="F3" s="55" t="n">
        <x:f>ROUND(D3/'概览'!$B$6,6)</x:f>
        <x:v>4.216667</x:v>
      </x:c>
      <x:c r="G3" s="55" t="n">
        <x:f>ROUND(F3-F2,6)</x:f>
        <x:v>0.583334</x:v>
      </x:c>
      <x:c r="H3" s="55" t="n">
        <x:f>IF(AND(B3&lt;&gt;"",B3=B2),ROUND(F3-F2,6),"")</x:f>
        <x:v>0.583334</x:v>
      </x:c>
      <x:c r="I3" s="56" t="str">
        <x:v>有效回合</x:v>
      </x:c>
    </x:row>
    <x:row r="4">
      <x:c r="A4" s="53" t="n">
        <x:v>3</x:v>
      </x:c>
      <x:c r="B4" s="53" t="n">
        <x:v>1</x:v>
      </x:c>
      <x:c r="C4" s="53" t="n">
        <x:v>3</x:v>
      </x:c>
      <x:c r="D4" s="53" t="n">
        <x:v>278</x:v>
      </x:c>
      <x:c r="E4" s="54" t="n">
        <x:f>F4/86400</x:f>
        <x:v>0.000053626539351851854</x:v>
      </x:c>
      <x:c r="F4" s="55" t="n">
        <x:f>ROUND(D4/'概览'!$B$6,6)</x:f>
        <x:v>4.633333</x:v>
      </x:c>
      <x:c r="G4" s="55" t="n">
        <x:f>ROUND(F4-F3,6)</x:f>
        <x:v>0.416666</x:v>
      </x:c>
      <x:c r="H4" s="55" t="n">
        <x:f>IF(AND(B4&lt;&gt;"",B4=B3),ROUND(F4-F3,6),"")</x:f>
        <x:v>0.416666</x:v>
      </x:c>
      <x:c r="I4" s="56" t="str">
        <x:v>有效回合</x:v>
      </x:c>
    </x:row>
    <x:row r="5">
      <x:c r="A5" s="53" t="n">
        <x:v>4</x:v>
      </x:c>
      <x:c r="B5" s="53" t="n">
        <x:v>2</x:v>
      </x:c>
      <x:c r="C5" s="53" t="n">
        <x:v>1</x:v>
      </x:c>
      <x:c r="D5" s="53" t="n">
        <x:v>566</x:v>
      </x:c>
      <x:c r="E5" s="54" t="n">
        <x:f>F5/86400</x:f>
        <x:v>0.0001091820949074074</x:v>
      </x:c>
      <x:c r="F5" s="55" t="n">
        <x:f>ROUND(D5/'概览'!$B$6,6)</x:f>
        <x:v>9.433333</x:v>
      </x:c>
      <x:c r="G5" s="55" t="n">
        <x:f>ROUND(F5-F4,6)</x:f>
        <x:v>4.8</x:v>
      </x:c>
      <x:c r="H5" s="55" t="str">
        <x:f>IF(AND(B5&lt;&gt;"",B5=B4),ROUND(F5-F4,6),"")</x:f>
      </x:c>
      <x:c r="I5" s="56" t="str">
        <x:v>有效回合</x:v>
      </x:c>
    </x:row>
    <x:row r="6">
      <x:c r="A6" s="53" t="n">
        <x:v>5</x:v>
      </x:c>
      <x:c r="B6" s="53" t="n">
        <x:v>2</x:v>
      </x:c>
      <x:c r="C6" s="53" t="n">
        <x:v>2</x:v>
      </x:c>
      <x:c r="D6" s="53" t="n">
        <x:v>622</x:v>
      </x:c>
      <x:c r="E6" s="54" t="n">
        <x:f>F6/86400</x:f>
        <x:v>0.00011998457175925925</x:v>
      </x:c>
      <x:c r="F6" s="55" t="n">
        <x:f>ROUND(D6/'概览'!$B$6,6)</x:f>
        <x:v>10.366667</x:v>
      </x:c>
      <x:c r="G6" s="55" t="n">
        <x:f>ROUND(F6-F5,6)</x:f>
        <x:v>0.933334</x:v>
      </x:c>
      <x:c r="H6" s="55" t="n">
        <x:f>IF(AND(B6&lt;&gt;"",B6=B5),ROUND(F6-F5,6),"")</x:f>
        <x:v>0.933334</x:v>
      </x:c>
      <x:c r="I6" s="56" t="str">
        <x:v>有效回合</x:v>
      </x:c>
    </x:row>
    <x:row r="7">
      <x:c r="A7" s="53" t="n">
        <x:v>6</x:v>
      </x:c>
      <x:c r="B7" s="53" t="n">
        <x:v>2</x:v>
      </x:c>
      <x:c r="C7" s="53" t="n">
        <x:v>3</x:v>
      </x:c>
      <x:c r="D7" s="53" t="n">
        <x:v>642</x:v>
      </x:c>
      <x:c r="E7" s="54" t="n">
        <x:f>F7/86400</x:f>
        <x:v>0.00012384259259259258</x:v>
      </x:c>
      <x:c r="F7" s="55" t="n">
        <x:f>ROUND(D7/'概览'!$B$6,6)</x:f>
        <x:v>10.7</x:v>
      </x:c>
      <x:c r="G7" s="55" t="n">
        <x:f>ROUND(F7-F6,6)</x:f>
        <x:v>0.333333</x:v>
      </x:c>
      <x:c r="H7" s="55" t="n">
        <x:f>IF(AND(B7&lt;&gt;"",B7=B6),ROUND(F7-F6,6),"")</x:f>
        <x:v>0.333333</x:v>
      </x:c>
      <x:c r="I7" s="56" t="str">
        <x:v>有效回合</x:v>
      </x:c>
    </x:row>
    <x:row r="8">
      <x:c r="A8" s="53" t="n">
        <x:v>7</x:v>
      </x:c>
      <x:c r="B8" s="53" t="n">
        <x:v>2</x:v>
      </x:c>
      <x:c r="C8" s="53" t="n">
        <x:v>4</x:v>
      </x:c>
      <x:c r="D8" s="53" t="n">
        <x:v>765</x:v>
      </x:c>
      <x:c r="E8" s="54" t="n">
        <x:f>F8/86400</x:f>
        <x:v>0.00014756944444444445</x:v>
      </x:c>
      <x:c r="F8" s="55" t="n">
        <x:f>ROUND(D8/'概览'!$B$6,6)</x:f>
        <x:v>12.75</x:v>
      </x:c>
      <x:c r="G8" s="55" t="n">
        <x:f>ROUND(F8-F7,6)</x:f>
        <x:v>2.05</x:v>
      </x:c>
      <x:c r="H8" s="55" t="n">
        <x:f>IF(AND(B8&lt;&gt;"",B8=B7),ROUND(F8-F7,6),"")</x:f>
        <x:v>2.05</x:v>
      </x:c>
      <x:c r="I8" s="56" t="str">
        <x:v>有效回合</x:v>
      </x:c>
    </x:row>
    <x:row r="9">
      <x:c r="A9" s="53" t="n">
        <x:v>8</x:v>
      </x:c>
      <x:c r="B9" s="53" t="n">
        <x:v>2</x:v>
      </x:c>
      <x:c r="C9" s="53" t="n">
        <x:v>5</x:v>
      </x:c>
      <x:c r="D9" s="53" t="n">
        <x:v>825</x:v>
      </x:c>
      <x:c r="E9" s="54" t="n">
        <x:f>F9/86400</x:f>
        <x:v>0.00015914351851851853</x:v>
      </x:c>
      <x:c r="F9" s="55" t="n">
        <x:f>ROUND(D9/'概览'!$B$6,6)</x:f>
        <x:v>13.75</x:v>
      </x:c>
      <x:c r="G9" s="55" t="n">
        <x:f>ROUND(F9-F8,6)</x:f>
        <x:v>1</x:v>
      </x:c>
      <x:c r="H9" s="55" t="n">
        <x:f>IF(AND(B9&lt;&gt;"",B9=B8),ROUND(F9-F8,6),"")</x:f>
        <x:v>1</x:v>
      </x:c>
      <x:c r="I9" s="56" t="str">
        <x:v>有效回合</x:v>
      </x:c>
    </x:row>
    <x:row r="10">
      <x:c r="A10" s="53" t="n">
        <x:v>9</x:v>
      </x:c>
      <x:c r="B10" s="53" t="n">
        <x:v>2</x:v>
      </x:c>
      <x:c r="C10" s="53" t="n">
        <x:v>6</x:v>
      </x:c>
      <x:c r="D10" s="53" t="n">
        <x:v>853</x:v>
      </x:c>
      <x:c r="E10" s="54" t="n">
        <x:f>F10/86400</x:f>
        <x:v>0.00016454475694444444</x:v>
      </x:c>
      <x:c r="F10" s="55" t="n">
        <x:f>ROUND(D10/'概览'!$B$6,6)</x:f>
        <x:v>14.216667</x:v>
      </x:c>
      <x:c r="G10" s="55" t="n">
        <x:f>ROUND(F10-F9,6)</x:f>
        <x:v>0.466667</x:v>
      </x:c>
      <x:c r="H10" s="55" t="n">
        <x:f>IF(AND(B10&lt;&gt;"",B10=B9),ROUND(F10-F9,6),"")</x:f>
        <x:v>0.466667</x:v>
      </x:c>
      <x:c r="I10" s="56" t="str">
        <x:v>有效回合</x:v>
      </x:c>
    </x:row>
    <x:row r="11">
      <x:c r="A11" s="53" t="n">
        <x:v>10</x:v>
      </x:c>
      <x:c r="B11" s="53" t="n">
        <x:v>2</x:v>
      </x:c>
      <x:c r="C11" s="53" t="n">
        <x:v>7</x:v>
      </x:c>
      <x:c r="D11" s="53" t="n">
        <x:v>890</x:v>
      </x:c>
      <x:c r="E11" s="54" t="n">
        <x:f>F11/86400</x:f>
        <x:v>0.00017168209490740741</x:v>
      </x:c>
      <x:c r="F11" s="55" t="n">
        <x:f>ROUND(D11/'概览'!$B$6,6)</x:f>
        <x:v>14.833333</x:v>
      </x:c>
      <x:c r="G11" s="55" t="n">
        <x:f>ROUND(F11-F10,6)</x:f>
        <x:v>0.616666</x:v>
      </x:c>
      <x:c r="H11" s="55" t="n">
        <x:f>IF(AND(B11&lt;&gt;"",B11=B10),ROUND(F11-F10,6),"")</x:f>
        <x:v>0.616666</x:v>
      </x:c>
      <x:c r="I11" s="56" t="str">
        <x:v>有效回合</x:v>
      </x:c>
    </x:row>
    <x:row r="12">
      <x:c r="A12" s="53" t="n">
        <x:v>11</x:v>
      </x:c>
      <x:c r="B12" s="53" t="n">
        <x:v>2</x:v>
      </x:c>
      <x:c r="C12" s="53" t="n">
        <x:v>8</x:v>
      </x:c>
      <x:c r="D12" s="53" t="n">
        <x:v>919</x:v>
      </x:c>
      <x:c r="E12" s="54" t="n">
        <x:f>F12/86400</x:f>
        <x:v>0.00017727623842592592</x:v>
      </x:c>
      <x:c r="F12" s="55" t="n">
        <x:f>ROUND(D12/'概览'!$B$6,6)</x:f>
        <x:v>15.316667</x:v>
      </x:c>
      <x:c r="G12" s="55" t="n">
        <x:f>ROUND(F12-F11,6)</x:f>
        <x:v>0.483334</x:v>
      </x:c>
      <x:c r="H12" s="55" t="n">
        <x:f>IF(AND(B12&lt;&gt;"",B12=B11),ROUND(F12-F11,6),"")</x:f>
        <x:v>0.483334</x:v>
      </x:c>
      <x:c r="I12" s="56" t="str">
        <x:v>有效回合</x:v>
      </x:c>
    </x:row>
    <x:row r="13">
      <x:c r="A13" s="53" t="n">
        <x:v>12</x:v>
      </x:c>
      <x:c r="B13" s="53" t="n">
        <x:v>3</x:v>
      </x:c>
      <x:c r="C13" s="53" t="n">
        <x:v>1</x:v>
      </x:c>
      <x:c r="D13" s="53" t="n">
        <x:v>1254</x:v>
      </x:c>
      <x:c r="E13" s="54" t="n">
        <x:f>F13/86400</x:f>
        <x:v>0.00024189814814814812</x:v>
      </x:c>
      <x:c r="F13" s="55" t="n">
        <x:f>ROUND(D13/'概览'!$B$6,6)</x:f>
        <x:v>20.9</x:v>
      </x:c>
      <x:c r="G13" s="55" t="n">
        <x:f>ROUND(F13-F12,6)</x:f>
        <x:v>5.583333</x:v>
      </x:c>
      <x:c r="H13" s="55" t="str">
        <x:f>IF(AND(B13&lt;&gt;"",B13=B12),ROUND(F13-F12,6),"")</x:f>
      </x:c>
      <x:c r="I13" s="56" t="str">
        <x:v>有效回合</x:v>
      </x:c>
    </x:row>
    <x:row r="14">
      <x:c r="A14" s="53" t="n">
        <x:v>13</x:v>
      </x:c>
      <x:c r="B14" s="53" t="n">
        <x:v>3</x:v>
      </x:c>
      <x:c r="C14" s="53" t="n">
        <x:v>2</x:v>
      </x:c>
      <x:c r="D14" s="53" t="n">
        <x:v>1277</x:v>
      </x:c>
      <x:c r="E14" s="54" t="n">
        <x:f>F14/86400</x:f>
        <x:v>0.00024633487268518515</x:v>
      </x:c>
      <x:c r="F14" s="55" t="n">
        <x:f>ROUND(D14/'概览'!$B$6,6)</x:f>
        <x:v>21.283333</x:v>
      </x:c>
      <x:c r="G14" s="55" t="n">
        <x:f>ROUND(F14-F13,6)</x:f>
        <x:v>0.383333</x:v>
      </x:c>
      <x:c r="H14" s="55" t="n">
        <x:f>IF(AND(B14&lt;&gt;"",B14=B13),ROUND(F14-F13,6),"")</x:f>
        <x:v>0.383333</x:v>
      </x:c>
      <x:c r="I14" s="56" t="str">
        <x:v>有效回合</x:v>
      </x:c>
    </x:row>
    <x:row r="15">
      <x:c r="A15" s="53" t="n">
        <x:v>14</x:v>
      </x:c>
      <x:c r="B15" s="53" t="n">
        <x:v>3</x:v>
      </x:c>
      <x:c r="C15" s="53" t="n">
        <x:v>3</x:v>
      </x:c>
      <x:c r="D15" s="53" t="n">
        <x:v>1306</x:v>
      </x:c>
      <x:c r="E15" s="54" t="n">
        <x:f>F15/86400</x:f>
        <x:v>0.0002519290162037037</x:v>
      </x:c>
      <x:c r="F15" s="55" t="n">
        <x:f>ROUND(D15/'概览'!$B$6,6)</x:f>
        <x:v>21.766667</x:v>
      </x:c>
      <x:c r="G15" s="55" t="n">
        <x:f>ROUND(F15-F14,6)</x:f>
        <x:v>0.483334</x:v>
      </x:c>
      <x:c r="H15" s="55" t="n">
        <x:f>IF(AND(B15&lt;&gt;"",B15=B14),ROUND(F15-F14,6),"")</x:f>
        <x:v>0.483334</x:v>
      </x:c>
      <x:c r="I15" s="56" t="str">
        <x:v>有效回合</x:v>
      </x:c>
    </x:row>
    <x:row r="16">
      <x:c r="A16" s="53" t="n">
        <x:v>15</x:v>
      </x:c>
      <x:c r="B16" s="53" t="n">
        <x:v>3</x:v>
      </x:c>
      <x:c r="C16" s="53" t="n">
        <x:v>4</x:v>
      </x:c>
      <x:c r="D16" s="53" t="n">
        <x:v>1326</x:v>
      </x:c>
      <x:c r="E16" s="54" t="n">
        <x:f>F16/86400</x:f>
        <x:v>0.00025578703703703706</x:v>
      </x:c>
      <x:c r="F16" s="55" t="n">
        <x:f>ROUND(D16/'概览'!$B$6,6)</x:f>
        <x:v>22.1</x:v>
      </x:c>
      <x:c r="G16" s="55" t="n">
        <x:f>ROUND(F16-F15,6)</x:f>
        <x:v>0.333333</x:v>
      </x:c>
      <x:c r="H16" s="55" t="n">
        <x:f>IF(AND(B16&lt;&gt;"",B16=B15),ROUND(F16-F15,6),"")</x:f>
        <x:v>0.333333</x:v>
      </x:c>
      <x:c r="I16" s="56" t="str">
        <x:v>有效回合</x:v>
      </x:c>
    </x:row>
    <x:row r="17">
      <x:c r="A17" s="53" t="n">
        <x:v>16</x:v>
      </x:c>
      <x:c r="B17" s="53" t="n">
        <x:v>3</x:v>
      </x:c>
      <x:c r="C17" s="53" t="n">
        <x:v>5</x:v>
      </x:c>
      <x:c r="D17" s="53" t="n">
        <x:v>1353</x:v>
      </x:c>
      <x:c r="E17" s="54" t="n">
        <x:f>F17/86400</x:f>
        <x:v>0.00026099537037037036</x:v>
      </x:c>
      <x:c r="F17" s="55" t="n">
        <x:f>ROUND(D17/'概览'!$B$6,6)</x:f>
        <x:v>22.55</x:v>
      </x:c>
      <x:c r="G17" s="55" t="n">
        <x:f>ROUND(F17-F16,6)</x:f>
        <x:v>0.45</x:v>
      </x:c>
      <x:c r="H17" s="55" t="n">
        <x:f>IF(AND(B17&lt;&gt;"",B17=B16),ROUND(F17-F16,6),"")</x:f>
        <x:v>0.45</x:v>
      </x:c>
      <x:c r="I17" s="56" t="str">
        <x:v>有效回合</x:v>
      </x:c>
    </x:row>
    <x:row r="18">
      <x:c r="A18" s="53" t="n">
        <x:v>17</x:v>
      </x:c>
      <x:c r="B18" s="53" t="n">
        <x:v>4</x:v>
      </x:c>
      <x:c r="C18" s="53" t="n">
        <x:v>1</x:v>
      </x:c>
      <x:c r="D18" s="53" t="n">
        <x:v>1679</x:v>
      </x:c>
      <x:c r="E18" s="54" t="n">
        <x:f>F18/86400</x:f>
        <x:v>0.00032388116898148146</x:v>
      </x:c>
      <x:c r="F18" s="55" t="n">
        <x:f>ROUND(D18/'概览'!$B$6,6)</x:f>
        <x:v>27.983333</x:v>
      </x:c>
      <x:c r="G18" s="55" t="n">
        <x:f>ROUND(F18-F17,6)</x:f>
        <x:v>5.433333</x:v>
      </x:c>
      <x:c r="H18" s="55" t="str">
        <x:f>IF(AND(B18&lt;&gt;"",B18=B17),ROUND(F18-F17,6),"")</x:f>
      </x:c>
      <x:c r="I18" s="56" t="str">
        <x:v>有效回合</x:v>
      </x:c>
    </x:row>
    <x:row r="19">
      <x:c r="A19" s="53" t="n">
        <x:v>18</x:v>
      </x:c>
      <x:c r="B19" s="53" t="n">
        <x:v>4</x:v>
      </x:c>
      <x:c r="C19" s="53" t="n">
        <x:v>2</x:v>
      </x:c>
      <x:c r="D19" s="53" t="n">
        <x:v>1793</x:v>
      </x:c>
      <x:c r="E19" s="54" t="n">
        <x:f>F19/86400</x:f>
        <x:v>0.00034587190972222223</x:v>
      </x:c>
      <x:c r="F19" s="55" t="n">
        <x:f>ROUND(D19/'概览'!$B$6,6)</x:f>
        <x:v>29.883333</x:v>
      </x:c>
      <x:c r="G19" s="55" t="n">
        <x:f>ROUND(F19-F18,6)</x:f>
        <x:v>1.9</x:v>
      </x:c>
      <x:c r="H19" s="55" t="n">
        <x:f>IF(AND(B19&lt;&gt;"",B19=B18),ROUND(F19-F18,6),"")</x:f>
        <x:v>1.9</x:v>
      </x:c>
      <x:c r="I19" s="56" t="str">
        <x:v>有效回合</x:v>
      </x:c>
    </x:row>
    <x:row r="20">
      <x:c r="A20" s="53" t="n">
        <x:v>19</x:v>
      </x:c>
      <x:c r="B20" s="53" t="n">
        <x:v>5</x:v>
      </x:c>
      <x:c r="C20" s="53" t="n">
        <x:v>1</x:v>
      </x:c>
      <x:c r="D20" s="53" t="n">
        <x:v>2055</x:v>
      </x:c>
      <x:c r="E20" s="54" t="n">
        <x:f>F20/86400</x:f>
        <x:v>0.000396412037037037</x:v>
      </x:c>
      <x:c r="F20" s="55" t="n">
        <x:f>ROUND(D20/'概览'!$B$6,6)</x:f>
        <x:v>34.25</x:v>
      </x:c>
      <x:c r="G20" s="55" t="n">
        <x:f>ROUND(F20-F19,6)</x:f>
        <x:v>4.366667</x:v>
      </x:c>
      <x:c r="H20" s="55" t="str">
        <x:f>IF(AND(B20&lt;&gt;"",B20=B19),ROUND(F20-F19,6),"")</x:f>
      </x:c>
      <x:c r="I20" s="56" t="str">
        <x:v>有效回合</x:v>
      </x:c>
    </x:row>
    <x:row r="21">
      <x:c r="A21" s="53" t="n">
        <x:v>20</x:v>
      </x:c>
      <x:c r="B21" s="53" t="n">
        <x:v>5</x:v>
      </x:c>
      <x:c r="C21" s="53" t="n">
        <x:v>2</x:v>
      </x:c>
      <x:c r="D21" s="53" t="n">
        <x:v>2077</x:v>
      </x:c>
      <x:c r="E21" s="54" t="n">
        <x:f>F21/86400</x:f>
        <x:v>0.00040065586805555553</x:v>
      </x:c>
      <x:c r="F21" s="55" t="n">
        <x:f>ROUND(D21/'概览'!$B$6,6)</x:f>
        <x:v>34.616667</x:v>
      </x:c>
      <x:c r="G21" s="55" t="n">
        <x:f>ROUND(F21-F20,6)</x:f>
        <x:v>0.366667</x:v>
      </x:c>
      <x:c r="H21" s="55" t="n">
        <x:f>IF(AND(B21&lt;&gt;"",B21=B20),ROUND(F21-F20,6),"")</x:f>
        <x:v>0.366667</x:v>
      </x:c>
      <x:c r="I21" s="56" t="str">
        <x:v>有效回合</x:v>
      </x:c>
    </x:row>
    <x:row r="22">
      <x:c r="A22" s="53" t="n">
        <x:v>21</x:v>
      </x:c>
      <x:c r="B22" s="53" t="n">
        <x:v>5</x:v>
      </x:c>
      <x:c r="C22" s="53" t="n">
        <x:v>3</x:v>
      </x:c>
      <x:c r="D22" s="53" t="n">
        <x:v>2117</x:v>
      </x:c>
      <x:c r="E22" s="54" t="n">
        <x:f>F22/86400</x:f>
        <x:v>0.00040837190972222223</x:v>
      </x:c>
      <x:c r="F22" s="55" t="n">
        <x:f>ROUND(D22/'概览'!$B$6,6)</x:f>
        <x:v>35.283333</x:v>
      </x:c>
      <x:c r="G22" s="55" t="n">
        <x:f>ROUND(F22-F21,6)</x:f>
        <x:v>0.666666</x:v>
      </x:c>
      <x:c r="H22" s="55" t="n">
        <x:f>IF(AND(B22&lt;&gt;"",B22=B21),ROUND(F22-F21,6),"")</x:f>
        <x:v>0.666666</x:v>
      </x:c>
      <x:c r="I22" s="56" t="str">
        <x:v>有效回合</x:v>
      </x:c>
    </x:row>
    <x:row r="23">
      <x:c r="A23" s="53" t="n">
        <x:v>22</x:v>
      </x:c>
      <x:c r="B23" s="53" t="n">
        <x:v>5</x:v>
      </x:c>
      <x:c r="C23" s="53" t="n">
        <x:v>4</x:v>
      </x:c>
      <x:c r="D23" s="53" t="n">
        <x:v>2156</x:v>
      </x:c>
      <x:c r="E23" s="54" t="n">
        <x:f>F23/86400</x:f>
        <x:v>0.00041589505787037034</x:v>
      </x:c>
      <x:c r="F23" s="55" t="n">
        <x:f>ROUND(D23/'概览'!$B$6,6)</x:f>
        <x:v>35.933333</x:v>
      </x:c>
      <x:c r="G23" s="55" t="n">
        <x:f>ROUND(F23-F22,6)</x:f>
        <x:v>0.65</x:v>
      </x:c>
      <x:c r="H23" s="55" t="n">
        <x:f>IF(AND(B23&lt;&gt;"",B23=B22),ROUND(F23-F22,6),"")</x:f>
        <x:v>0.65</x:v>
      </x:c>
      <x:c r="I23" s="56" t="str">
        <x:v>有效回合</x:v>
      </x:c>
    </x:row>
    <x:row r="24">
      <x:c r="A24" s="53" t="n">
        <x:v>23</x:v>
      </x:c>
      <x:c r="B24" s="53" t="n">
        <x:v>5</x:v>
      </x:c>
      <x:c r="C24" s="53" t="n">
        <x:v>5</x:v>
      </x:c>
      <x:c r="D24" s="53" t="n">
        <x:v>2195</x:v>
      </x:c>
      <x:c r="E24" s="54" t="n">
        <x:f>F24/86400</x:f>
        <x:v>0.00042341820601851855</x:v>
      </x:c>
      <x:c r="F24" s="55" t="n">
        <x:f>ROUND(D24/'概览'!$B$6,6)</x:f>
        <x:v>36.583333</x:v>
      </x:c>
      <x:c r="G24" s="55" t="n">
        <x:f>ROUND(F24-F23,6)</x:f>
        <x:v>0.65</x:v>
      </x:c>
      <x:c r="H24" s="55" t="n">
        <x:f>IF(AND(B24&lt;&gt;"",B24=B23),ROUND(F24-F23,6),"")</x:f>
        <x:v>0.65</x:v>
      </x:c>
      <x:c r="I24" s="56" t="str">
        <x:v>有效回合</x:v>
      </x:c>
    </x:row>
    <x:row r="25">
      <x:c r="A25" s="53" t="n">
        <x:v>24</x:v>
      </x:c>
      <x:c r="B25" s="53" t="n">
        <x:v>6</x:v>
      </x:c>
      <x:c r="C25" s="53" t="n">
        <x:v>1</x:v>
      </x:c>
      <x:c r="D25" s="53" t="n">
        <x:v>2506</x:v>
      </x:c>
      <x:c r="E25" s="54" t="n">
        <x:f>F25/86400</x:f>
        <x:v>0.00048341049768518515</x:v>
      </x:c>
      <x:c r="F25" s="55" t="n">
        <x:f>ROUND(D25/'概览'!$B$6,6)</x:f>
        <x:v>41.766667</x:v>
      </x:c>
      <x:c r="G25" s="55" t="n">
        <x:f>ROUND(F25-F24,6)</x:f>
        <x:v>5.183334</x:v>
      </x:c>
      <x:c r="H25" s="55" t="str">
        <x:f>IF(AND(B25&lt;&gt;"",B25=B24),ROUND(F25-F24,6),"")</x:f>
      </x:c>
      <x:c r="I25" s="56" t="str">
        <x:v>有效回合</x:v>
      </x:c>
    </x:row>
    <x:row r="26">
      <x:c r="A26" s="53" t="n">
        <x:v>25</x:v>
      </x:c>
      <x:c r="B26" s="53" t="n">
        <x:v>6</x:v>
      </x:c>
      <x:c r="C26" s="53" t="n">
        <x:v>2</x:v>
      </x:c>
      <x:c r="D26" s="53" t="n">
        <x:v>2531</x:v>
      </x:c>
      <x:c r="E26" s="54" t="n">
        <x:f>F26/86400</x:f>
        <x:v>0.0004882330208333333</x:v>
      </x:c>
      <x:c r="F26" s="55" t="n">
        <x:f>ROUND(D26/'概览'!$B$6,6)</x:f>
        <x:v>42.183333</x:v>
      </x:c>
      <x:c r="G26" s="55" t="n">
        <x:f>ROUND(F26-F25,6)</x:f>
        <x:v>0.416666</x:v>
      </x:c>
      <x:c r="H26" s="55" t="n">
        <x:f>IF(AND(B26&lt;&gt;"",B26=B25),ROUND(F26-F25,6),"")</x:f>
        <x:v>0.416666</x:v>
      </x:c>
      <x:c r="I26" s="56" t="str">
        <x:v>有效回合</x:v>
      </x:c>
    </x:row>
    <x:row r="27">
      <x:c r="A27" s="53" t="n">
        <x:v>26</x:v>
      </x:c>
      <x:c r="B27" s="53" t="n">
        <x:v>6</x:v>
      </x:c>
      <x:c r="C27" s="53" t="n">
        <x:v>3</x:v>
      </x:c>
      <x:c r="D27" s="53" t="n">
        <x:v>2557</x:v>
      </x:c>
      <x:c r="E27" s="54" t="n">
        <x:f>F27/86400</x:f>
        <x:v>0.0004932484606481482</x:v>
      </x:c>
      <x:c r="F27" s="55" t="n">
        <x:f>ROUND(D27/'概览'!$B$6,6)</x:f>
        <x:v>42.616667</x:v>
      </x:c>
      <x:c r="G27" s="55" t="n">
        <x:f>ROUND(F27-F26,6)</x:f>
        <x:v>0.433334</x:v>
      </x:c>
      <x:c r="H27" s="55" t="n">
        <x:f>IF(AND(B27&lt;&gt;"",B27=B26),ROUND(F27-F26,6),"")</x:f>
        <x:v>0.433334</x:v>
      </x:c>
      <x:c r="I27" s="56" t="str">
        <x:v>有效回合</x:v>
      </x:c>
    </x:row>
    <x:row r="28">
      <x:c r="A28" s="53" t="n">
        <x:v>27</x:v>
      </x:c>
      <x:c r="B28" s="53" t="n">
        <x:v>6</x:v>
      </x:c>
      <x:c r="C28" s="53" t="n">
        <x:v>4</x:v>
      </x:c>
      <x:c r="D28" s="53" t="n">
        <x:v>2578</x:v>
      </x:c>
      <x:c r="E28" s="54" t="n">
        <x:f>F28/86400</x:f>
        <x:v>0.0004972993865740741</x:v>
      </x:c>
      <x:c r="F28" s="55" t="n">
        <x:f>ROUND(D28/'概览'!$B$6,6)</x:f>
        <x:v>42.966667</x:v>
      </x:c>
      <x:c r="G28" s="55" t="n">
        <x:f>ROUND(F28-F27,6)</x:f>
        <x:v>0.35</x:v>
      </x:c>
      <x:c r="H28" s="55" t="n">
        <x:f>IF(AND(B28&lt;&gt;"",B28=B27),ROUND(F28-F27,6),"")</x:f>
        <x:v>0.35</x:v>
      </x:c>
      <x:c r="I28" s="56" t="str">
        <x:v>有效回合</x:v>
      </x:c>
    </x:row>
    <x:row r="29">
      <x:c r="A29" s="53" t="n">
        <x:v>28</x:v>
      </x:c>
      <x:c r="B29" s="53" t="n">
        <x:v>7</x:v>
      </x:c>
      <x:c r="C29" s="53" t="n">
        <x:v>1</x:v>
      </x:c>
      <x:c r="D29" s="53" t="n">
        <x:v>2840</x:v>
      </x:c>
      <x:c r="E29" s="54" t="n">
        <x:f>F29/86400</x:f>
        <x:v>0.0005478395023148149</x:v>
      </x:c>
      <x:c r="F29" s="55" t="n">
        <x:f>ROUND(D29/'概览'!$B$6,6)</x:f>
        <x:v>47.333333</x:v>
      </x:c>
      <x:c r="G29" s="55" t="n">
        <x:f>ROUND(F29-F28,6)</x:f>
        <x:v>4.366666</x:v>
      </x:c>
      <x:c r="H29" s="55" t="str">
        <x:f>IF(AND(B29&lt;&gt;"",B29=B28),ROUND(F29-F28,6),"")</x:f>
      </x:c>
      <x:c r="I29" s="56" t="str">
        <x:v>有效回合</x:v>
      </x:c>
    </x:row>
    <x:row r="30">
      <x:c r="A30" s="53" t="n">
        <x:v>29</x:v>
      </x:c>
      <x:c r="B30" s="53" t="n">
        <x:v>7</x:v>
      </x:c>
      <x:c r="C30" s="53" t="n">
        <x:v>2</x:v>
      </x:c>
      <x:c r="D30" s="53" t="n">
        <x:v>2890</x:v>
      </x:c>
      <x:c r="E30" s="54" t="n">
        <x:f>F30/86400</x:f>
        <x:v>0.0005574845717592592</x:v>
      </x:c>
      <x:c r="F30" s="55" t="n">
        <x:f>ROUND(D30/'概览'!$B$6,6)</x:f>
        <x:v>48.166667</x:v>
      </x:c>
      <x:c r="G30" s="55" t="n">
        <x:f>ROUND(F30-F29,6)</x:f>
        <x:v>0.833334</x:v>
      </x:c>
      <x:c r="H30" s="55" t="n">
        <x:f>IF(AND(B30&lt;&gt;"",B30=B29),ROUND(F30-F29,6),"")</x:f>
        <x:v>0.833334</x:v>
      </x:c>
      <x:c r="I30" s="56" t="str">
        <x:v>有效回合</x:v>
      </x:c>
    </x:row>
    <x:row r="31">
      <x:c r="A31" s="53" t="n">
        <x:v>30</x:v>
      </x:c>
      <x:c r="B31" s="53" t="n">
        <x:v>7</x:v>
      </x:c>
      <x:c r="C31" s="53" t="n">
        <x:v>3</x:v>
      </x:c>
      <x:c r="D31" s="53" t="n">
        <x:v>2956</x:v>
      </x:c>
      <x:c r="E31" s="54" t="n">
        <x:f>F31/86400</x:f>
        <x:v>0.0005702160532407407</x:v>
      </x:c>
      <x:c r="F31" s="55" t="n">
        <x:f>ROUND(D31/'概览'!$B$6,6)</x:f>
        <x:v>49.266667</x:v>
      </x:c>
      <x:c r="G31" s="55" t="n">
        <x:f>ROUND(F31-F30,6)</x:f>
        <x:v>1.1</x:v>
      </x:c>
      <x:c r="H31" s="55" t="n">
        <x:f>IF(AND(B31&lt;&gt;"",B31=B30),ROUND(F31-F30,6),"")</x:f>
        <x:v>1.1</x:v>
      </x:c>
      <x:c r="I31" s="56" t="str">
        <x:v>有效回合</x:v>
      </x:c>
    </x:row>
    <x:row r="32">
      <x:c r="A32" s="53" t="n">
        <x:v>31</x:v>
      </x:c>
      <x:c r="B32" s="53" t="n">
        <x:v>7</x:v>
      </x:c>
      <x:c r="C32" s="53" t="n">
        <x:v>4</x:v>
      </x:c>
      <x:c r="D32" s="53" t="n">
        <x:v>3017</x:v>
      </x:c>
      <x:c r="E32" s="54" t="n">
        <x:f>F32/86400</x:f>
        <x:v>0.0005819830208333333</x:v>
      </x:c>
      <x:c r="F32" s="55" t="n">
        <x:f>ROUND(D32/'概览'!$B$6,6)</x:f>
        <x:v>50.283333</x:v>
      </x:c>
      <x:c r="G32" s="55" t="n">
        <x:f>ROUND(F32-F31,6)</x:f>
        <x:v>1.016666</x:v>
      </x:c>
      <x:c r="H32" s="55" t="n">
        <x:f>IF(AND(B32&lt;&gt;"",B32=B31),ROUND(F32-F31,6),"")</x:f>
        <x:v>1.016666</x:v>
      </x:c>
      <x:c r="I32" s="56" t="str">
        <x:v>有效回合</x:v>
      </x:c>
    </x:row>
    <x:row r="33">
      <x:c r="A33" s="53" t="n">
        <x:v>32</x:v>
      </x:c>
      <x:c r="B33" s="53" t="n">
        <x:v>7</x:v>
      </x:c>
      <x:c r="C33" s="53" t="n">
        <x:v>5</x:v>
      </x:c>
      <x:c r="D33" s="53" t="n">
        <x:v>3055</x:v>
      </x:c>
      <x:c r="E33" s="54" t="n">
        <x:f>F33/86400</x:f>
        <x:v>0.0005893132754629629</x:v>
      </x:c>
      <x:c r="F33" s="55" t="n">
        <x:f>ROUND(D33/'概览'!$B$6,6)</x:f>
        <x:v>50.916667</x:v>
      </x:c>
      <x:c r="G33" s="55" t="n">
        <x:f>ROUND(F33-F32,6)</x:f>
        <x:v>0.633334</x:v>
      </x:c>
      <x:c r="H33" s="55" t="n">
        <x:f>IF(AND(B33&lt;&gt;"",B33=B32),ROUND(F33-F32,6),"")</x:f>
        <x:v>0.633334</x:v>
      </x:c>
      <x:c r="I33" s="56" t="str">
        <x:v>有效回合</x:v>
      </x:c>
    </x:row>
    <x:row r="34">
      <x:c r="A34" s="53" t="n">
        <x:v>33</x:v>
      </x:c>
      <x:c r="B34" s="53" t="n">
        <x:v>7</x:v>
      </x:c>
      <x:c r="C34" s="53" t="n">
        <x:v>6</x:v>
      </x:c>
      <x:c r="D34" s="53" t="n">
        <x:v>3085</x:v>
      </x:c>
      <x:c r="E34" s="54" t="n">
        <x:f>F34/86400</x:f>
        <x:v>0.0005951003124999999</x:v>
      </x:c>
      <x:c r="F34" s="55" t="n">
        <x:f>ROUND(D34/'概览'!$B$6,6)</x:f>
        <x:v>51.416667</x:v>
      </x:c>
      <x:c r="G34" s="55" t="n">
        <x:f>ROUND(F34-F33,6)</x:f>
        <x:v>0.5</x:v>
      </x:c>
      <x:c r="H34" s="55" t="n">
        <x:f>IF(AND(B34&lt;&gt;"",B34=B33),ROUND(F34-F33,6),"")</x:f>
        <x:v>0.5</x:v>
      </x:c>
      <x:c r="I34" s="56" t="str">
        <x:v>有效回合</x:v>
      </x:c>
    </x:row>
    <x:row r="35">
      <x:c r="A35" s="53" t="n">
        <x:v>34</x:v>
      </x:c>
      <x:c r="B35" s="53" t="n">
        <x:v>8</x:v>
      </x:c>
      <x:c r="C35" s="53" t="n">
        <x:v>1</x:v>
      </x:c>
      <x:c r="D35" s="53" t="n">
        <x:v>3351</x:v>
      </x:c>
      <x:c r="E35" s="54" t="n">
        <x:f>F35/86400</x:f>
        <x:v>0.000646412037037037</x:v>
      </x:c>
      <x:c r="F35" s="55" t="n">
        <x:f>ROUND(D35/'概览'!$B$6,6)</x:f>
        <x:v>55.85</x:v>
      </x:c>
      <x:c r="G35" s="55" t="n">
        <x:f>ROUND(F35-F34,6)</x:f>
        <x:v>4.433333</x:v>
      </x:c>
      <x:c r="H35" s="55" t="str">
        <x:f>IF(AND(B35&lt;&gt;"",B35=B34),ROUND(F35-F34,6),"")</x:f>
      </x:c>
      <x:c r="I35" s="56" t="str">
        <x:v>有效回合</x:v>
      </x:c>
    </x:row>
    <x:row r="36">
      <x:c r="A36" s="53" t="n">
        <x:v>35</x:v>
      </x:c>
      <x:c r="B36" s="53" t="n">
        <x:v>8</x:v>
      </x:c>
      <x:c r="C36" s="53" t="n">
        <x:v>2</x:v>
      </x:c>
      <x:c r="D36" s="53" t="n">
        <x:v>3374</x:v>
      </x:c>
      <x:c r="E36" s="54" t="n">
        <x:f>F36/86400</x:f>
        <x:v>0.0006508487615740741</x:v>
      </x:c>
      <x:c r="F36" s="55" t="n">
        <x:f>ROUND(D36/'概览'!$B$6,6)</x:f>
        <x:v>56.233333</x:v>
      </x:c>
      <x:c r="G36" s="55" t="n">
        <x:f>ROUND(F36-F35,6)</x:f>
        <x:v>0.383333</x:v>
      </x:c>
      <x:c r="H36" s="55" t="n">
        <x:f>IF(AND(B36&lt;&gt;"",B36=B35),ROUND(F36-F35,6),"")</x:f>
        <x:v>0.383333</x:v>
      </x:c>
      <x:c r="I36" s="56" t="str">
        <x:v>有效回合</x:v>
      </x:c>
    </x:row>
    <x:row r="37">
      <x:c r="A37" s="53" t="n">
        <x:v>36</x:v>
      </x:c>
      <x:c r="B37" s="53" t="n">
        <x:v>8</x:v>
      </x:c>
      <x:c r="C37" s="53" t="n">
        <x:v>3</x:v>
      </x:c>
      <x:c r="D37" s="53" t="n">
        <x:v>3399</x:v>
      </x:c>
      <x:c r="E37" s="54" t="n">
        <x:f>F37/86400</x:f>
        <x:v>0.0006556712962962962</x:v>
      </x:c>
      <x:c r="F37" s="55" t="n">
        <x:f>ROUND(D37/'概览'!$B$6,6)</x:f>
        <x:v>56.65</x:v>
      </x:c>
      <x:c r="G37" s="55" t="n">
        <x:f>ROUND(F37-F36,6)</x:f>
        <x:v>0.416667</x:v>
      </x:c>
      <x:c r="H37" s="55" t="n">
        <x:f>IF(AND(B37&lt;&gt;"",B37=B36),ROUND(F37-F36,6),"")</x:f>
        <x:v>0.416667</x:v>
      </x:c>
      <x:c r="I37" s="56" t="str">
        <x:v>有效回合</x:v>
      </x:c>
    </x:row>
    <x:row r="38">
      <x:c r="A38" s="53" t="n">
        <x:v>37</x:v>
      </x:c>
      <x:c r="B38" s="53" t="n">
        <x:v>8</x:v>
      </x:c>
      <x:c r="C38" s="53" t="n">
        <x:v>4</x:v>
      </x:c>
      <x:c r="D38" s="53" t="n">
        <x:v>3425</x:v>
      </x:c>
      <x:c r="E38" s="54" t="n">
        <x:f>F38/86400</x:f>
        <x:v>0.0006606867245370371</x:v>
      </x:c>
      <x:c r="F38" s="55" t="n">
        <x:f>ROUND(D38/'概览'!$B$6,6)</x:f>
        <x:v>57.083333</x:v>
      </x:c>
      <x:c r="G38" s="55" t="n">
        <x:f>ROUND(F38-F37,6)</x:f>
        <x:v>0.433333</x:v>
      </x:c>
      <x:c r="H38" s="55" t="n">
        <x:f>IF(AND(B38&lt;&gt;"",B38=B37),ROUND(F38-F37,6),"")</x:f>
        <x:v>0.433333</x:v>
      </x:c>
      <x:c r="I38" s="56" t="str">
        <x:v>有效回合</x:v>
      </x:c>
    </x:row>
    <x:row r="39">
      <x:c r="A39" s="53" t="n">
        <x:v>38</x:v>
      </x:c>
      <x:c r="B39" s="53" t="n">
        <x:v>8</x:v>
      </x:c>
      <x:c r="C39" s="53" t="n">
        <x:v>5</x:v>
      </x:c>
      <x:c r="D39" s="53" t="n">
        <x:v>3460</x:v>
      </x:c>
      <x:c r="E39" s="54" t="n">
        <x:f>F39/86400</x:f>
        <x:v>0.0006674382754629629</x:v>
      </x:c>
      <x:c r="F39" s="55" t="n">
        <x:f>ROUND(D39/'概览'!$B$6,6)</x:f>
        <x:v>57.666667</x:v>
      </x:c>
      <x:c r="G39" s="55" t="n">
        <x:f>ROUND(F39-F38,6)</x:f>
        <x:v>0.583334</x:v>
      </x:c>
      <x:c r="H39" s="55" t="n">
        <x:f>IF(AND(B39&lt;&gt;"",B39=B38),ROUND(F39-F38,6),"")</x:f>
        <x:v>0.583334</x:v>
      </x:c>
      <x:c r="I39" s="56" t="str">
        <x:v>有效回合</x:v>
      </x:c>
    </x:row>
    <x:row r="40">
      <x:c r="A40" s="53" t="n">
        <x:v>39</x:v>
      </x:c>
      <x:c r="B40" s="53" t="n">
        <x:v>9</x:v>
      </x:c>
      <x:c r="C40" s="53" t="n">
        <x:v>1</x:v>
      </x:c>
      <x:c r="D40" s="53" t="n">
        <x:v>3705</x:v>
      </x:c>
      <x:c r="E40" s="54" t="n">
        <x:f>F40/86400</x:f>
        <x:v>0.0007146990740740741</x:v>
      </x:c>
      <x:c r="F40" s="55" t="n">
        <x:f>ROUND(D40/'概览'!$B$6,6)</x:f>
        <x:v>61.75</x:v>
      </x:c>
      <x:c r="G40" s="55" t="n">
        <x:f>ROUND(F40-F39,6)</x:f>
        <x:v>4.083333</x:v>
      </x:c>
      <x:c r="H40" s="55" t="str">
        <x:f>IF(AND(B40&lt;&gt;"",B40=B39),ROUND(F40-F39,6),"")</x:f>
      </x:c>
      <x:c r="I40" s="56" t="str">
        <x:v>有效回合</x:v>
      </x:c>
    </x:row>
    <x:row r="41">
      <x:c r="A41" s="53" t="n">
        <x:v>40</x:v>
      </x:c>
      <x:c r="B41" s="53" t="n">
        <x:v>9</x:v>
      </x:c>
      <x:c r="C41" s="53" t="n">
        <x:v>2</x:v>
      </x:c>
      <x:c r="D41" s="53" t="n">
        <x:v>3731</x:v>
      </x:c>
      <x:c r="E41" s="54" t="n">
        <x:f>F41/86400</x:f>
        <x:v>0.0007197145023148148</x:v>
      </x:c>
      <x:c r="F41" s="55" t="n">
        <x:f>ROUND(D41/'概览'!$B$6,6)</x:f>
        <x:v>62.183333</x:v>
      </x:c>
      <x:c r="G41" s="55" t="n">
        <x:f>ROUND(F41-F40,6)</x:f>
        <x:v>0.433333</x:v>
      </x:c>
      <x:c r="H41" s="55" t="n">
        <x:f>IF(AND(B41&lt;&gt;"",B41=B40),ROUND(F41-F40,6),"")</x:f>
        <x:v>0.433333</x:v>
      </x:c>
      <x:c r="I41" s="56" t="str">
        <x:v>有效回合</x:v>
      </x:c>
    </x:row>
    <x:row r="42">
      <x:c r="A42" s="53" t="n">
        <x:v>41</x:v>
      </x:c>
      <x:c r="B42" s="53" t="n">
        <x:v>9</x:v>
      </x:c>
      <x:c r="C42" s="53" t="n">
        <x:v>3</x:v>
      </x:c>
      <x:c r="D42" s="53" t="n">
        <x:v>3761</x:v>
      </x:c>
      <x:c r="E42" s="54" t="n">
        <x:f>F42/86400</x:f>
        <x:v>0.0007255015393518518</x:v>
      </x:c>
      <x:c r="F42" s="55" t="n">
        <x:f>ROUND(D42/'概览'!$B$6,6)</x:f>
        <x:v>62.683333</x:v>
      </x:c>
      <x:c r="G42" s="55" t="n">
        <x:f>ROUND(F42-F41,6)</x:f>
        <x:v>0.5</x:v>
      </x:c>
      <x:c r="H42" s="55" t="n">
        <x:f>IF(AND(B42&lt;&gt;"",B42=B41),ROUND(F42-F41,6),"")</x:f>
        <x:v>0.5</x:v>
      </x:c>
      <x:c r="I42" s="56" t="str">
        <x:v>有效回合</x:v>
      </x:c>
    </x:row>
    <x:row r="43">
      <x:c r="A43" s="53" t="n">
        <x:v>42</x:v>
      </x:c>
      <x:c r="B43" s="53" t="n">
        <x:v>9</x:v>
      </x:c>
      <x:c r="C43" s="53" t="n">
        <x:v>4</x:v>
      </x:c>
      <x:c r="D43" s="53" t="n">
        <x:v>3781</x:v>
      </x:c>
      <x:c r="E43" s="54" t="n">
        <x:f>F43/86400</x:f>
        <x:v>0.0007293595717592592</x:v>
      </x:c>
      <x:c r="F43" s="55" t="n">
        <x:f>ROUND(D43/'概览'!$B$6,6)</x:f>
        <x:v>63.016667</x:v>
      </x:c>
      <x:c r="G43" s="55" t="n">
        <x:f>ROUND(F43-F42,6)</x:f>
        <x:v>0.333334</x:v>
      </x:c>
      <x:c r="H43" s="55" t="n">
        <x:f>IF(AND(B43&lt;&gt;"",B43=B42),ROUND(F43-F42,6),"")</x:f>
        <x:v>0.333334</x:v>
      </x:c>
      <x:c r="I43" s="56" t="str">
        <x:v>有效回合</x:v>
      </x:c>
    </x:row>
    <x:row r="44">
      <x:c r="A44" s="53" t="n">
        <x:v>43</x:v>
      </x:c>
      <x:c r="B44" s="53" t="n">
        <x:v>9</x:v>
      </x:c>
      <x:c r="C44" s="53" t="n">
        <x:v>5</x:v>
      </x:c>
      <x:c r="D44" s="53" t="n">
        <x:v>3809</x:v>
      </x:c>
      <x:c r="E44" s="54" t="n">
        <x:f>F44/86400</x:f>
        <x:v>0.0007347607986111112</x:v>
      </x:c>
      <x:c r="F44" s="55" t="n">
        <x:f>ROUND(D44/'概览'!$B$6,6)</x:f>
        <x:v>63.483333</x:v>
      </x:c>
      <x:c r="G44" s="55" t="n">
        <x:f>ROUND(F44-F43,6)</x:f>
        <x:v>0.466666</x:v>
      </x:c>
      <x:c r="H44" s="55" t="n">
        <x:f>IF(AND(B44&lt;&gt;"",B44=B43),ROUND(F44-F43,6),"")</x:f>
        <x:v>0.466666</x:v>
      </x:c>
      <x:c r="I44" s="56" t="str">
        <x:v>有效回合</x:v>
      </x:c>
    </x:row>
    <x:row r="45">
      <x:c r="A45" s="53" t="n">
        <x:v>44</x:v>
      </x:c>
      <x:c r="B45" s="53" t="n">
        <x:v>10</x:v>
      </x:c>
      <x:c r="C45" s="53" t="n">
        <x:v>1</x:v>
      </x:c>
      <x:c r="D45" s="53" t="n">
        <x:v>4188</x:v>
      </x:c>
      <x:c r="E45" s="54" t="n">
        <x:f>F45/86400</x:f>
        <x:v>0.0008078703703703704</x:v>
      </x:c>
      <x:c r="F45" s="55" t="n">
        <x:f>ROUND(D45/'概览'!$B$6,6)</x:f>
        <x:v>69.8</x:v>
      </x:c>
      <x:c r="G45" s="55" t="n">
        <x:f>ROUND(F45-F44,6)</x:f>
        <x:v>6.316667</x:v>
      </x:c>
      <x:c r="H45" s="55" t="str">
        <x:f>IF(AND(B45&lt;&gt;"",B45=B44),ROUND(F45-F44,6),"")</x:f>
      </x:c>
      <x:c r="I45" s="56" t="str">
        <x:v>有效回合</x:v>
      </x:c>
    </x:row>
    <x:row r="46">
      <x:c r="A46" s="53" t="n">
        <x:v>45</x:v>
      </x:c>
      <x:c r="B46" s="53" t="n">
        <x:v>10</x:v>
      </x:c>
      <x:c r="C46" s="53" t="n">
        <x:v>2</x:v>
      </x:c>
      <x:c r="D46" s="53" t="n">
        <x:v>4217</x:v>
      </x:c>
      <x:c r="E46" s="54" t="n">
        <x:f>F46/86400</x:f>
        <x:v>0.0008134645023148148</x:v>
      </x:c>
      <x:c r="F46" s="55" t="n">
        <x:f>ROUND(D46/'概览'!$B$6,6)</x:f>
        <x:v>70.283333</x:v>
      </x:c>
      <x:c r="G46" s="55" t="n">
        <x:f>ROUND(F46-F45,6)</x:f>
        <x:v>0.483333</x:v>
      </x:c>
      <x:c r="H46" s="55" t="n">
        <x:f>IF(AND(B46&lt;&gt;"",B46=B45),ROUND(F46-F45,6),"")</x:f>
        <x:v>0.483333</x:v>
      </x:c>
      <x:c r="I46" s="56" t="str">
        <x:v>有效回合</x:v>
      </x:c>
    </x:row>
    <x:row r="47">
      <x:c r="A47" s="53" t="n">
        <x:v>46</x:v>
      </x:c>
      <x:c r="B47" s="53" t="n">
        <x:v>11</x:v>
      </x:c>
      <x:c r="C47" s="53" t="n">
        <x:v>1</x:v>
      </x:c>
      <x:c r="D47" s="53" t="n">
        <x:v>4553</x:v>
      </x:c>
      <x:c r="E47" s="54" t="n">
        <x:f>F47/86400</x:f>
        <x:v>0.0008782793171296296</x:v>
      </x:c>
      <x:c r="F47" s="55" t="n">
        <x:f>ROUND(D47/'概览'!$B$6,6)</x:f>
        <x:v>75.883333</x:v>
      </x:c>
      <x:c r="G47" s="55" t="n">
        <x:f>ROUND(F47-F46,6)</x:f>
        <x:v>5.6</x:v>
      </x:c>
      <x:c r="H47" s="55" t="str">
        <x:f>IF(AND(B47&lt;&gt;"",B47=B46),ROUND(F47-F46,6),"")</x:f>
      </x:c>
      <x:c r="I47" s="56" t="str">
        <x:v>有效回合</x:v>
      </x:c>
    </x:row>
    <x:row r="48">
      <x:c r="A48" s="53" t="n">
        <x:v>47</x:v>
      </x:c>
      <x:c r="B48" s="53" t="n">
        <x:v>11</x:v>
      </x:c>
      <x:c r="C48" s="53" t="n">
        <x:v>2</x:v>
      </x:c>
      <x:c r="D48" s="53" t="n">
        <x:v>4586</x:v>
      </x:c>
      <x:c r="E48" s="54" t="n">
        <x:f>F48/86400</x:f>
        <x:v>0.0008846450578703704</x:v>
      </x:c>
      <x:c r="F48" s="55" t="n">
        <x:f>ROUND(D48/'概览'!$B$6,6)</x:f>
        <x:v>76.433333</x:v>
      </x:c>
      <x:c r="G48" s="55" t="n">
        <x:f>ROUND(F48-F47,6)</x:f>
        <x:v>0.55</x:v>
      </x:c>
      <x:c r="H48" s="55" t="n">
        <x:f>IF(AND(B48&lt;&gt;"",B48=B47),ROUND(F48-F47,6),"")</x:f>
        <x:v>0.55</x:v>
      </x:c>
      <x:c r="I48" s="56" t="str">
        <x:v>有效回合</x:v>
      </x:c>
    </x:row>
    <x:row r="49">
      <x:c r="A49" s="53" t="n">
        <x:v>48</x:v>
      </x:c>
      <x:c r="B49" s="53" t="n">
        <x:v>12</x:v>
      </x:c>
      <x:c r="C49" s="53" t="n">
        <x:v>1</x:v>
      </x:c>
      <x:c r="D49" s="53" t="n">
        <x:v>4837</x:v>
      </x:c>
      <x:c r="E49" s="54" t="n">
        <x:f>F49/86400</x:f>
        <x:v>0.000933063275462963</x:v>
      </x:c>
      <x:c r="F49" s="55" t="n">
        <x:f>ROUND(D49/'概览'!$B$6,6)</x:f>
        <x:v>80.616667</x:v>
      </x:c>
      <x:c r="G49" s="55" t="n">
        <x:f>ROUND(F49-F48,6)</x:f>
        <x:v>4.183334</x:v>
      </x:c>
      <x:c r="H49" s="55" t="str">
        <x:f>IF(AND(B49&lt;&gt;"",B49=B48),ROUND(F49-F48,6),"")</x:f>
      </x:c>
      <x:c r="I49" s="56" t="str">
        <x:v>有效回合</x:v>
      </x:c>
    </x:row>
    <x:row r="50">
      <x:c r="A50" s="53" t="n">
        <x:v>49</x:v>
      </x:c>
      <x:c r="B50" s="53" t="n">
        <x:v>12</x:v>
      </x:c>
      <x:c r="C50" s="53" t="n">
        <x:v>2</x:v>
      </x:c>
      <x:c r="D50" s="53" t="n">
        <x:v>4858</x:v>
      </x:c>
      <x:c r="E50" s="54" t="n">
        <x:f>F50/86400</x:f>
        <x:v>0.0009371142013888889</x:v>
      </x:c>
      <x:c r="F50" s="55" t="n">
        <x:f>ROUND(D50/'概览'!$B$6,6)</x:f>
        <x:v>80.966667</x:v>
      </x:c>
      <x:c r="G50" s="55" t="n">
        <x:f>ROUND(F50-F49,6)</x:f>
        <x:v>0.35</x:v>
      </x:c>
      <x:c r="H50" s="55" t="n">
        <x:f>IF(AND(B50&lt;&gt;"",B50=B49),ROUND(F50-F49,6),"")</x:f>
        <x:v>0.35</x:v>
      </x:c>
      <x:c r="I50" s="56" t="str">
        <x:v>有效回合</x:v>
      </x:c>
    </x:row>
    <x:row r="51">
      <x:c r="A51" s="53" t="n">
        <x:v>50</x:v>
      </x:c>
      <x:c r="B51" s="53" t="n">
        <x:v>12</x:v>
      </x:c>
      <x:c r="C51" s="53" t="n">
        <x:v>3</x:v>
      </x:c>
      <x:c r="D51" s="53" t="n">
        <x:v>4905</x:v>
      </x:c>
      <x:c r="E51" s="54" t="n">
        <x:f>F51/86400</x:f>
        <x:v>0.0009461805555555556</x:v>
      </x:c>
      <x:c r="F51" s="55" t="n">
        <x:f>ROUND(D51/'概览'!$B$6,6)</x:f>
        <x:v>81.75</x:v>
      </x:c>
      <x:c r="G51" s="55" t="n">
        <x:f>ROUND(F51-F50,6)</x:f>
        <x:v>0.783333</x:v>
      </x:c>
      <x:c r="H51" s="55" t="n">
        <x:f>IF(AND(B51&lt;&gt;"",B51=B50),ROUND(F51-F50,6),"")</x:f>
        <x:v>0.783333</x:v>
      </x:c>
      <x:c r="I51" s="56" t="str">
        <x:v>有效回合</x:v>
      </x:c>
    </x:row>
    <x:row r="52">
      <x:c r="A52" s="53" t="n">
        <x:v>51</x:v>
      </x:c>
      <x:c r="B52" s="53" t="n">
        <x:v>12</x:v>
      </x:c>
      <x:c r="C52" s="53" t="n">
        <x:v>4</x:v>
      </x:c>
      <x:c r="D52" s="53" t="n">
        <x:v>4936</x:v>
      </x:c>
      <x:c r="E52" s="54" t="n">
        <x:f>F52/86400</x:f>
        <x:v>0.0009521604976851851</x:v>
      </x:c>
      <x:c r="F52" s="55" t="n">
        <x:f>ROUND(D52/'概览'!$B$6,6)</x:f>
        <x:v>82.266667</x:v>
      </x:c>
      <x:c r="G52" s="55" t="n">
        <x:f>ROUND(F52-F51,6)</x:f>
        <x:v>0.516667</x:v>
      </x:c>
      <x:c r="H52" s="55" t="n">
        <x:f>IF(AND(B52&lt;&gt;"",B52=B51),ROUND(F52-F51,6),"")</x:f>
        <x:v>0.516667</x:v>
      </x:c>
      <x:c r="I52" s="56" t="str">
        <x:v>有效回合</x:v>
      </x:c>
    </x:row>
    <x:row r="53">
      <x:c r="A53" s="53" t="n">
        <x:v>52</x:v>
      </x:c>
      <x:c r="B53" s="53"/>
      <x:c r="C53" s="53"/>
      <x:c r="D53" s="53" t="n">
        <x:v>5222</x:v>
      </x:c>
      <x:c r="E53" s="54" t="n">
        <x:f>F53/86400</x:f>
        <x:v>0.0010073302430555556</x:v>
      </x:c>
      <x:c r="F53" s="55" t="n">
        <x:f>ROUND(D53/'概览'!$B$6,6)</x:f>
        <x:v>87.033333</x:v>
      </x:c>
      <x:c r="G53" s="55" t="n">
        <x:f>ROUND(F53-F52,6)</x:f>
        <x:v>4.766666</x:v>
      </x:c>
      <x:c r="H53" s="55" t="str">
        <x:f>IF(AND(B53&lt;&gt;"",B53=B52),ROUND(F53-F52,6),"")</x:f>
      </x:c>
      <x:c r="I53" s="56" t="str">
        <x:v>孤立候选</x:v>
      </x:c>
    </x:row>
    <x:row r="54">
      <x:c r="A54" s="53" t="n">
        <x:v>53</x:v>
      </x:c>
      <x:c r="B54" s="53" t="n">
        <x:v>13</x:v>
      </x:c>
      <x:c r="C54" s="53" t="n">
        <x:v>1</x:v>
      </x:c>
      <x:c r="D54" s="53" t="n">
        <x:v>5574</x:v>
      </x:c>
      <x:c r="E54" s="54" t="n">
        <x:f>F54/86400</x:f>
        <x:v>0.0010752314814814815</x:v>
      </x:c>
      <x:c r="F54" s="55" t="n">
        <x:f>ROUND(D54/'概览'!$B$6,6)</x:f>
        <x:v>92.9</x:v>
      </x:c>
      <x:c r="G54" s="55" t="n">
        <x:f>ROUND(F54-F53,6)</x:f>
        <x:v>5.866667</x:v>
      </x:c>
      <x:c r="H54" s="55" t="str">
        <x:f>IF(AND(B54&lt;&gt;"",B54=B53),ROUND(F54-F53,6),"")</x:f>
      </x:c>
      <x:c r="I54" s="56" t="str">
        <x:v>有效回合</x:v>
      </x:c>
    </x:row>
    <x:row r="55">
      <x:c r="A55" s="53" t="n">
        <x:v>54</x:v>
      </x:c>
      <x:c r="B55" s="53" t="n">
        <x:v>13</x:v>
      </x:c>
      <x:c r="C55" s="53" t="n">
        <x:v>2</x:v>
      </x:c>
      <x:c r="D55" s="53" t="n">
        <x:v>5624</x:v>
      </x:c>
      <x:c r="E55" s="54" t="n">
        <x:f>F55/86400</x:f>
        <x:v>0.0010848765393518518</x:v>
      </x:c>
      <x:c r="F55" s="55" t="n">
        <x:f>ROUND(D55/'概览'!$B$6,6)</x:f>
        <x:v>93.733333</x:v>
      </x:c>
      <x:c r="G55" s="55" t="n">
        <x:f>ROUND(F55-F54,6)</x:f>
        <x:v>0.833333</x:v>
      </x:c>
      <x:c r="H55" s="55" t="n">
        <x:f>IF(AND(B55&lt;&gt;"",B55=B54),ROUND(F55-F54,6),"")</x:f>
        <x:v>0.833333</x:v>
      </x:c>
      <x:c r="I55" s="56" t="str">
        <x:v>有效回合</x:v>
      </x:c>
    </x:row>
    <x:row r="56">
      <x:c r="A56" s="53" t="n">
        <x:v>55</x:v>
      </x:c>
      <x:c r="B56" s="53" t="n">
        <x:v>13</x:v>
      </x:c>
      <x:c r="C56" s="53" t="n">
        <x:v>3</x:v>
      </x:c>
      <x:c r="D56" s="53" t="n">
        <x:v>5655</x:v>
      </x:c>
      <x:c r="E56" s="54" t="n">
        <x:f>F56/86400</x:f>
        <x:v>0.0010908564814814815</x:v>
      </x:c>
      <x:c r="F56" s="55" t="n">
        <x:f>ROUND(D56/'概览'!$B$6,6)</x:f>
        <x:v>94.25</x:v>
      </x:c>
      <x:c r="G56" s="55" t="n">
        <x:f>ROUND(F56-F55,6)</x:f>
        <x:v>0.516667</x:v>
      </x:c>
      <x:c r="H56" s="55" t="n">
        <x:f>IF(AND(B56&lt;&gt;"",B56=B55),ROUND(F56-F55,6),"")</x:f>
        <x:v>0.516667</x:v>
      </x:c>
      <x:c r="I56" s="56" t="str">
        <x:v>有效回合</x:v>
      </x:c>
    </x:row>
    <x:row r="57">
      <x:c r="A57" s="53" t="n">
        <x:v>56</x:v>
      </x:c>
      <x:c r="B57" s="53" t="n">
        <x:v>14</x:v>
      </x:c>
      <x:c r="C57" s="53" t="n">
        <x:v>1</x:v>
      </x:c>
      <x:c r="D57" s="53" t="n">
        <x:v>5986</x:v>
      </x:c>
      <x:c r="E57" s="54" t="n">
        <x:f>F57/86400</x:f>
        <x:v>0.0011547067939814814</x:v>
      </x:c>
      <x:c r="F57" s="55" t="n">
        <x:f>ROUND(D57/'概览'!$B$6,6)</x:f>
        <x:v>99.766667</x:v>
      </x:c>
      <x:c r="G57" s="55" t="n">
        <x:f>ROUND(F57-F56,6)</x:f>
        <x:v>5.516667</x:v>
      </x:c>
      <x:c r="H57" s="55" t="str">
        <x:f>IF(AND(B57&lt;&gt;"",B57=B56),ROUND(F57-F56,6),"")</x:f>
      </x:c>
      <x:c r="I57" s="56" t="str">
        <x:v>有效回合</x:v>
      </x:c>
    </x:row>
    <x:row r="58">
      <x:c r="A58" s="53" t="n">
        <x:v>57</x:v>
      </x:c>
      <x:c r="B58" s="53" t="n">
        <x:v>14</x:v>
      </x:c>
      <x:c r="C58" s="53" t="n">
        <x:v>2</x:v>
      </x:c>
      <x:c r="D58" s="53" t="n">
        <x:v>6010</x:v>
      </x:c>
      <x:c r="E58" s="54" t="n">
        <x:f>F58/86400</x:f>
        <x:v>0.0011593364236111112</x:v>
      </x:c>
      <x:c r="F58" s="55" t="n">
        <x:f>ROUND(D58/'概览'!$B$6,6)</x:f>
        <x:v>100.166667</x:v>
      </x:c>
      <x:c r="G58" s="55" t="n">
        <x:f>ROUND(F58-F57,6)</x:f>
        <x:v>0.4</x:v>
      </x:c>
      <x:c r="H58" s="55" t="n">
        <x:f>IF(AND(B58&lt;&gt;"",B58=B57),ROUND(F58-F57,6),"")</x:f>
        <x:v>0.4</x:v>
      </x:c>
      <x:c r="I58" s="56" t="str">
        <x:v>有效回合</x:v>
      </x:c>
    </x:row>
    <x:row r="59">
      <x:c r="A59" s="53" t="n">
        <x:v>58</x:v>
      </x:c>
      <x:c r="B59" s="53" t="n">
        <x:v>14</x:v>
      </x:c>
      <x:c r="C59" s="53" t="n">
        <x:v>3</x:v>
      </x:c>
      <x:c r="D59" s="53" t="n">
        <x:v>6056</x:v>
      </x:c>
      <x:c r="E59" s="54" t="n">
        <x:f>F59/86400</x:f>
        <x:v>0.0011682098726851853</x:v>
      </x:c>
      <x:c r="F59" s="55" t="n">
        <x:f>ROUND(D59/'概览'!$B$6,6)</x:f>
        <x:v>100.933333</x:v>
      </x:c>
      <x:c r="G59" s="55" t="n">
        <x:f>ROUND(F59-F58,6)</x:f>
        <x:v>0.766666</x:v>
      </x:c>
      <x:c r="H59" s="55" t="n">
        <x:f>IF(AND(B59&lt;&gt;"",B59=B58),ROUND(F59-F58,6),"")</x:f>
        <x:v>0.766666</x:v>
      </x:c>
      <x:c r="I59" s="56" t="str">
        <x:v>有效回合</x:v>
      </x:c>
    </x:row>
    <x:row r="60">
      <x:c r="A60" s="53" t="n">
        <x:v>59</x:v>
      </x:c>
      <x:c r="B60" s="53"/>
      <x:c r="C60" s="53"/>
      <x:c r="D60" s="53" t="n">
        <x:v>6355</x:v>
      </x:c>
      <x:c r="E60" s="54" t="n">
        <x:f>F60/86400</x:f>
        <x:v>0.001225887349537037</x:v>
      </x:c>
      <x:c r="F60" s="55" t="n">
        <x:f>ROUND(D60/'概览'!$B$6,6)</x:f>
        <x:v>105.916667</x:v>
      </x:c>
      <x:c r="G60" s="55" t="n">
        <x:f>ROUND(F60-F59,6)</x:f>
        <x:v>4.983334</x:v>
      </x:c>
      <x:c r="H60" s="55" t="str">
        <x:f>IF(AND(B60&lt;&gt;"",B60=B59),ROUND(F60-F59,6),"")</x:f>
      </x:c>
      <x:c r="I60" s="56" t="str">
        <x:v>孤立候选</x:v>
      </x:c>
    </x:row>
    <x:row r="61">
      <x:c r="A61" s="53" t="n">
        <x:v>60</x:v>
      </x:c>
      <x:c r="B61" s="53" t="n">
        <x:v>15</x:v>
      </x:c>
      <x:c r="C61" s="53" t="n">
        <x:v>1</x:v>
      </x:c>
      <x:c r="D61" s="53" t="n">
        <x:v>6972</x:v>
      </x:c>
      <x:c r="E61" s="54" t="n">
        <x:f>F61/86400</x:f>
        <x:v>0.0013449074074074075</x:v>
      </x:c>
      <x:c r="F61" s="55" t="n">
        <x:f>ROUND(D61/'概览'!$B$6,6)</x:f>
        <x:v>116.2</x:v>
      </x:c>
      <x:c r="G61" s="55" t="n">
        <x:f>ROUND(F61-F60,6)</x:f>
        <x:v>10.283333</x:v>
      </x:c>
      <x:c r="H61" s="55" t="str">
        <x:f>IF(AND(B61&lt;&gt;"",B61=B60),ROUND(F61-F60,6),"")</x:f>
      </x:c>
      <x:c r="I61" s="56" t="str">
        <x:v>有效回合</x:v>
      </x:c>
    </x:row>
    <x:row r="62">
      <x:c r="A62" s="53" t="n">
        <x:v>61</x:v>
      </x:c>
      <x:c r="B62" s="53" t="n">
        <x:v>15</x:v>
      </x:c>
      <x:c r="C62" s="53" t="n">
        <x:v>2</x:v>
      </x:c>
      <x:c r="D62" s="53" t="n">
        <x:v>6995</x:v>
      </x:c>
      <x:c r="E62" s="54" t="n">
        <x:f>F62/86400</x:f>
        <x:v>0.0013493441319444445</x:v>
      </x:c>
      <x:c r="F62" s="55" t="n">
        <x:f>ROUND(D62/'概览'!$B$6,6)</x:f>
        <x:v>116.583333</x:v>
      </x:c>
      <x:c r="G62" s="55" t="n">
        <x:f>ROUND(F62-F61,6)</x:f>
        <x:v>0.383333</x:v>
      </x:c>
      <x:c r="H62" s="55" t="n">
        <x:f>IF(AND(B62&lt;&gt;"",B62=B61),ROUND(F62-F61,6),"")</x:f>
        <x:v>0.383333</x:v>
      </x:c>
      <x:c r="I62" s="56" t="str">
        <x:v>有效回合</x:v>
      </x:c>
    </x:row>
    <x:row r="63">
      <x:c r="A63" s="53" t="n">
        <x:v>62</x:v>
      </x:c>
      <x:c r="B63" s="53" t="n">
        <x:v>15</x:v>
      </x:c>
      <x:c r="C63" s="53" t="n">
        <x:v>3</x:v>
      </x:c>
      <x:c r="D63" s="53" t="n">
        <x:v>7016</x:v>
      </x:c>
      <x:c r="E63" s="54" t="n">
        <x:f>F63/86400</x:f>
        <x:v>0.0013533950578703705</x:v>
      </x:c>
      <x:c r="F63" s="55" t="n">
        <x:f>ROUND(D63/'概览'!$B$6,6)</x:f>
        <x:v>116.933333</x:v>
      </x:c>
      <x:c r="G63" s="55" t="n">
        <x:f>ROUND(F63-F62,6)</x:f>
        <x:v>0.35</x:v>
      </x:c>
      <x:c r="H63" s="55" t="n">
        <x:f>IF(AND(B63&lt;&gt;"",B63=B62),ROUND(F63-F62,6),"")</x:f>
        <x:v>0.35</x:v>
      </x:c>
      <x:c r="I63" s="56" t="str">
        <x:v>有效回合</x:v>
      </x:c>
    </x:row>
    <x:row r="64">
      <x:c r="A64" s="53" t="n">
        <x:v>63</x:v>
      </x:c>
      <x:c r="B64" s="53" t="n">
        <x:v>15</x:v>
      </x:c>
      <x:c r="C64" s="53" t="n">
        <x:v>4</x:v>
      </x:c>
      <x:c r="D64" s="53" t="n">
        <x:v>7052</x:v>
      </x:c>
      <x:c r="E64" s="54" t="n">
        <x:f>F64/86400</x:f>
        <x:v>0.0013603395023148149</x:v>
      </x:c>
      <x:c r="F64" s="55" t="n">
        <x:f>ROUND(D64/'概览'!$B$6,6)</x:f>
        <x:v>117.533333</x:v>
      </x:c>
      <x:c r="G64" s="55" t="n">
        <x:f>ROUND(F64-F63,6)</x:f>
        <x:v>0.6</x:v>
      </x:c>
      <x:c r="H64" s="55" t="n">
        <x:f>IF(AND(B64&lt;&gt;"",B64=B63),ROUND(F64-F63,6),"")</x:f>
        <x:v>0.6</x:v>
      </x:c>
      <x:c r="I64" s="56" t="str">
        <x:v>有效回合</x:v>
      </x:c>
    </x:row>
    <x:row r="65">
      <x:c r="A65" s="53" t="n">
        <x:v>64</x:v>
      </x:c>
      <x:c r="B65" s="53" t="n">
        <x:v>16</x:v>
      </x:c>
      <x:c r="C65" s="53" t="n">
        <x:v>1</x:v>
      </x:c>
      <x:c r="D65" s="53" t="n">
        <x:v>7329</x:v>
      </x:c>
      <x:c r="E65" s="54" t="n">
        <x:f>F65/86400</x:f>
        <x:v>0.0014137731481481482</x:v>
      </x:c>
      <x:c r="F65" s="55" t="n">
        <x:f>ROUND(D65/'概览'!$B$6,6)</x:f>
        <x:v>122.15</x:v>
      </x:c>
      <x:c r="G65" s="55" t="n">
        <x:f>ROUND(F65-F64,6)</x:f>
        <x:v>4.616667</x:v>
      </x:c>
      <x:c r="H65" s="55" t="str">
        <x:f>IF(AND(B65&lt;&gt;"",B65=B64),ROUND(F65-F64,6),"")</x:f>
      </x:c>
      <x:c r="I65" s="56" t="str">
        <x:v>有效回合</x:v>
      </x:c>
    </x:row>
    <x:row r="66">
      <x:c r="A66" s="53" t="n">
        <x:v>65</x:v>
      </x:c>
      <x:c r="B66" s="53" t="n">
        <x:v>16</x:v>
      </x:c>
      <x:c r="C66" s="53" t="n">
        <x:v>2</x:v>
      </x:c>
      <x:c r="D66" s="53" t="n">
        <x:v>7355</x:v>
      </x:c>
      <x:c r="E66" s="54" t="n">
        <x:f>F66/86400</x:f>
        <x:v>0.001418788576388889</x:v>
      </x:c>
      <x:c r="F66" s="55" t="n">
        <x:f>ROUND(D66/'概览'!$B$6,6)</x:f>
        <x:v>122.583333</x:v>
      </x:c>
      <x:c r="G66" s="55" t="n">
        <x:f>ROUND(F66-F65,6)</x:f>
        <x:v>0.433333</x:v>
      </x:c>
      <x:c r="H66" s="55" t="n">
        <x:f>IF(AND(B66&lt;&gt;"",B66=B65),ROUND(F66-F65,6),"")</x:f>
        <x:v>0.433333</x:v>
      </x:c>
      <x:c r="I66" s="56" t="str">
        <x:v>有效回合</x:v>
      </x:c>
    </x:row>
    <x:row r="67">
      <x:c r="A67" s="53" t="n">
        <x:v>66</x:v>
      </x:c>
      <x:c r="B67" s="53" t="n">
        <x:v>16</x:v>
      </x:c>
      <x:c r="C67" s="53" t="n">
        <x:v>3</x:v>
      </x:c>
      <x:c r="D67" s="53" t="n">
        <x:v>7381</x:v>
      </x:c>
      <x:c r="E67" s="54" t="n">
        <x:f>F67/86400</x:f>
        <x:v>0.0014238040162037036</x:v>
      </x:c>
      <x:c r="F67" s="55" t="n">
        <x:f>ROUND(D67/'概览'!$B$6,6)</x:f>
        <x:v>123.016667</x:v>
      </x:c>
      <x:c r="G67" s="55" t="n">
        <x:f>ROUND(F67-F66,6)</x:f>
        <x:v>0.433334</x:v>
      </x:c>
      <x:c r="H67" s="55" t="n">
        <x:f>IF(AND(B67&lt;&gt;"",B67=B66),ROUND(F67-F66,6),"")</x:f>
        <x:v>0.433334</x:v>
      </x:c>
      <x:c r="I67" s="56" t="str">
        <x:v>有效回合</x:v>
      </x:c>
    </x:row>
    <x:row r="68">
      <x:c r="A68" s="53" t="n">
        <x:v>67</x:v>
      </x:c>
      <x:c r="B68" s="53" t="n">
        <x:v>16</x:v>
      </x:c>
      <x:c r="C68" s="53" t="n">
        <x:v>4</x:v>
      </x:c>
      <x:c r="D68" s="53" t="n">
        <x:v>7440</x:v>
      </x:c>
      <x:c r="E68" s="54" t="n">
        <x:f>F68/86400</x:f>
        <x:v>0.0014351851851851852</x:v>
      </x:c>
      <x:c r="F68" s="55" t="n">
        <x:f>ROUND(D68/'概览'!$B$6,6)</x:f>
        <x:v>124</x:v>
      </x:c>
      <x:c r="G68" s="55" t="n">
        <x:f>ROUND(F68-F67,6)</x:f>
        <x:v>0.983333</x:v>
      </x:c>
      <x:c r="H68" s="55" t="n">
        <x:f>IF(AND(B68&lt;&gt;"",B68=B67),ROUND(F68-F67,6),"")</x:f>
        <x:v>0.983333</x:v>
      </x:c>
      <x:c r="I68" s="56" t="str">
        <x:v>有效回合</x:v>
      </x:c>
    </x:row>
    <x:row r="69">
      <x:c r="A69" s="53" t="n">
        <x:v>68</x:v>
      </x:c>
      <x:c r="B69" s="53" t="n">
        <x:v>17</x:v>
      </x:c>
      <x:c r="C69" s="53" t="n">
        <x:v>1</x:v>
      </x:c>
      <x:c r="D69" s="53" t="n">
        <x:v>7806</x:v>
      </x:c>
      <x:c r="E69" s="54" t="n">
        <x:f>F69/86400</x:f>
        <x:v>0.001505787037037037</x:v>
      </x:c>
      <x:c r="F69" s="55" t="n">
        <x:f>ROUND(D69/'概览'!$B$6,6)</x:f>
        <x:v>130.1</x:v>
      </x:c>
      <x:c r="G69" s="55" t="n">
        <x:f>ROUND(F69-F68,6)</x:f>
        <x:v>6.1</x:v>
      </x:c>
      <x:c r="H69" s="55" t="str">
        <x:f>IF(AND(B69&lt;&gt;"",B69=B68),ROUND(F69-F68,6),"")</x:f>
      </x:c>
      <x:c r="I69" s="56" t="str">
        <x:v>有效回合</x:v>
      </x:c>
    </x:row>
    <x:row r="70">
      <x:c r="A70" s="53" t="n">
        <x:v>69</x:v>
      </x:c>
      <x:c r="B70" s="53" t="n">
        <x:v>17</x:v>
      </x:c>
      <x:c r="C70" s="53" t="n">
        <x:v>2</x:v>
      </x:c>
      <x:c r="D70" s="53" t="n">
        <x:v>7825</x:v>
      </x:c>
      <x:c r="E70" s="54" t="n">
        <x:f>F70/86400</x:f>
        <x:v>0.0015094521643518517</x:v>
      </x:c>
      <x:c r="F70" s="55" t="n">
        <x:f>ROUND(D70/'概览'!$B$6,6)</x:f>
        <x:v>130.416667</x:v>
      </x:c>
      <x:c r="G70" s="55" t="n">
        <x:f>ROUND(F70-F69,6)</x:f>
        <x:v>0.316667</x:v>
      </x:c>
      <x:c r="H70" s="55" t="n">
        <x:f>IF(AND(B70&lt;&gt;"",B70=B69),ROUND(F70-F69,6),"")</x:f>
        <x:v>0.316667</x:v>
      </x:c>
      <x:c r="I70" s="56" t="str">
        <x:v>有效回合</x:v>
      </x:c>
    </x:row>
    <x:row r="71">
      <x:c r="A71" s="53" t="n">
        <x:v>70</x:v>
      </x:c>
      <x:c r="B71" s="53" t="n">
        <x:v>17</x:v>
      </x:c>
      <x:c r="C71" s="53" t="n">
        <x:v>3</x:v>
      </x:c>
      <x:c r="D71" s="53" t="n">
        <x:v>7864</x:v>
      </x:c>
      <x:c r="E71" s="54" t="n">
        <x:f>F71/86400</x:f>
        <x:v>0.0015169753124999999</x:v>
      </x:c>
      <x:c r="F71" s="55" t="n">
        <x:f>ROUND(D71/'概览'!$B$6,6)</x:f>
        <x:v>131.066667</x:v>
      </x:c>
      <x:c r="G71" s="55" t="n">
        <x:f>ROUND(F71-F70,6)</x:f>
        <x:v>0.65</x:v>
      </x:c>
      <x:c r="H71" s="55" t="n">
        <x:f>IF(AND(B71&lt;&gt;"",B71=B70),ROUND(F71-F70,6),"")</x:f>
        <x:v>0.65</x:v>
      </x:c>
      <x:c r="I71" s="56" t="str">
        <x:v>有效回合</x:v>
      </x:c>
    </x:row>
    <x:row r="72">
      <x:c r="A72" s="53" t="n">
        <x:v>71</x:v>
      </x:c>
      <x:c r="B72" s="53" t="n">
        <x:v>17</x:v>
      </x:c>
      <x:c r="C72" s="53" t="n">
        <x:v>4</x:v>
      </x:c>
      <x:c r="D72" s="53" t="n">
        <x:v>7885</x:v>
      </x:c>
      <x:c r="E72" s="54" t="n">
        <x:f>F72/86400</x:f>
        <x:v>0.001521026238425926</x:v>
      </x:c>
      <x:c r="F72" s="55" t="n">
        <x:f>ROUND(D72/'概览'!$B$6,6)</x:f>
        <x:v>131.416667</x:v>
      </x:c>
      <x:c r="G72" s="55" t="n">
        <x:f>ROUND(F72-F71,6)</x:f>
        <x:v>0.35</x:v>
      </x:c>
      <x:c r="H72" s="55" t="n">
        <x:f>IF(AND(B72&lt;&gt;"",B72=B71),ROUND(F72-F71,6),"")</x:f>
        <x:v>0.35</x:v>
      </x:c>
      <x:c r="I72" s="56" t="str">
        <x:v>有效回合</x:v>
      </x:c>
    </x:row>
    <x:row r="73">
      <x:c r="A73" s="53" t="n">
        <x:v>72</x:v>
      </x:c>
      <x:c r="B73" s="53" t="n">
        <x:v>18</x:v>
      </x:c>
      <x:c r="C73" s="53" t="n">
        <x:v>1</x:v>
      </x:c>
      <x:c r="D73" s="53" t="n">
        <x:v>8219</x:v>
      </x:c>
      <x:c r="E73" s="54" t="n">
        <x:f>F73/86400</x:f>
        <x:v>0.0015854552430555554</x:v>
      </x:c>
      <x:c r="F73" s="55" t="n">
        <x:f>ROUND(D73/'概览'!$B$6,6)</x:f>
        <x:v>136.983333</x:v>
      </x:c>
      <x:c r="G73" s="55" t="n">
        <x:f>ROUND(F73-F72,6)</x:f>
        <x:v>5.566666</x:v>
      </x:c>
      <x:c r="H73" s="55" t="str">
        <x:f>IF(AND(B73&lt;&gt;"",B73=B72),ROUND(F73-F72,6),"")</x:f>
      </x:c>
      <x:c r="I73" s="56" t="str">
        <x:v>有效回合</x:v>
      </x:c>
    </x:row>
    <x:row r="74">
      <x:c r="A74" s="53" t="n">
        <x:v>73</x:v>
      </x:c>
      <x:c r="B74" s="53" t="n">
        <x:v>18</x:v>
      </x:c>
      <x:c r="C74" s="53" t="n">
        <x:v>2</x:v>
      </x:c>
      <x:c r="D74" s="53" t="n">
        <x:v>8285</x:v>
      </x:c>
      <x:c r="E74" s="54" t="n">
        <x:f>F74/86400</x:f>
        <x:v>0.001598186724537037</x:v>
      </x:c>
      <x:c r="F74" s="55" t="n">
        <x:f>ROUND(D74/'概览'!$B$6,6)</x:f>
        <x:v>138.083333</x:v>
      </x:c>
      <x:c r="G74" s="55" t="n">
        <x:f>ROUND(F74-F73,6)</x:f>
        <x:v>1.1</x:v>
      </x:c>
      <x:c r="H74" s="55" t="n">
        <x:f>IF(AND(B74&lt;&gt;"",B74=B73),ROUND(F74-F73,6),"")</x:f>
        <x:v>1.1</x:v>
      </x:c>
      <x:c r="I74" s="56" t="str">
        <x:v>有效回合</x:v>
      </x:c>
    </x:row>
    <x:row r="75">
      <x:c r="A75" s="53" t="n">
        <x:v>74</x:v>
      </x:c>
      <x:c r="B75" s="53" t="n">
        <x:v>18</x:v>
      </x:c>
      <x:c r="C75" s="53" t="n">
        <x:v>3</x:v>
      </x:c>
      <x:c r="D75" s="53" t="n">
        <x:v>8323</x:v>
      </x:c>
      <x:c r="E75" s="54" t="n">
        <x:f>F75/86400</x:f>
        <x:v>0.0016055169791666668</x:v>
      </x:c>
      <x:c r="F75" s="55" t="n">
        <x:f>ROUND(D75/'概览'!$B$6,6)</x:f>
        <x:v>138.716667</x:v>
      </x:c>
      <x:c r="G75" s="55" t="n">
        <x:f>ROUND(F75-F74,6)</x:f>
        <x:v>0.633334</x:v>
      </x:c>
      <x:c r="H75" s="55" t="n">
        <x:f>IF(AND(B75&lt;&gt;"",B75=B74),ROUND(F75-F74,6),"")</x:f>
        <x:v>0.633334</x:v>
      </x:c>
      <x:c r="I75" s="56" t="str">
        <x:v>有效回合</x:v>
      </x:c>
    </x:row>
    <x:row r="76">
      <x:c r="A76" s="53" t="n">
        <x:v>75</x:v>
      </x:c>
      <x:c r="B76" s="53" t="n">
        <x:v>18</x:v>
      </x:c>
      <x:c r="C76" s="53" t="n">
        <x:v>4</x:v>
      </x:c>
      <x:c r="D76" s="53" t="n">
        <x:v>8402</x:v>
      </x:c>
      <x:c r="E76" s="54" t="n">
        <x:f>F76/86400</x:f>
        <x:v>0.0016207561689814815</x:v>
      </x:c>
      <x:c r="F76" s="55" t="n">
        <x:f>ROUND(D76/'概览'!$B$6,6)</x:f>
        <x:v>140.033333</x:v>
      </x:c>
      <x:c r="G76" s="55" t="n">
        <x:f>ROUND(F76-F75,6)</x:f>
        <x:v>1.316666</x:v>
      </x:c>
      <x:c r="H76" s="55" t="n">
        <x:f>IF(AND(B76&lt;&gt;"",B76=B75),ROUND(F76-F75,6),"")</x:f>
        <x:v>1.316666</x:v>
      </x:c>
      <x:c r="I76" s="56" t="str">
        <x:v>有效回合</x:v>
      </x:c>
    </x:row>
    <x:row r="77">
      <x:c r="A77" s="53" t="n">
        <x:v>76</x:v>
      </x:c>
      <x:c r="B77" s="53" t="n">
        <x:v>19</x:v>
      </x:c>
      <x:c r="C77" s="53" t="n">
        <x:v>1</x:v>
      </x:c>
      <x:c r="D77" s="53" t="n">
        <x:v>8741</x:v>
      </x:c>
      <x:c r="E77" s="54" t="n">
        <x:f>F77/86400</x:f>
        <x:v>0.0016861496875000001</x:v>
      </x:c>
      <x:c r="F77" s="55" t="n">
        <x:f>ROUND(D77/'概览'!$B$6,6)</x:f>
        <x:v>145.683333</x:v>
      </x:c>
      <x:c r="G77" s="55" t="n">
        <x:f>ROUND(F77-F76,6)</x:f>
        <x:v>5.65</x:v>
      </x:c>
      <x:c r="H77" s="55" t="str">
        <x:f>IF(AND(B77&lt;&gt;"",B77=B76),ROUND(F77-F76,6),"")</x:f>
      </x:c>
      <x:c r="I77" s="56" t="str">
        <x:v>有效回合</x:v>
      </x:c>
    </x:row>
    <x:row r="78">
      <x:c r="A78" s="53" t="n">
        <x:v>77</x:v>
      </x:c>
      <x:c r="B78" s="53" t="n">
        <x:v>19</x:v>
      </x:c>
      <x:c r="C78" s="53" t="n">
        <x:v>2</x:v>
      </x:c>
      <x:c r="D78" s="53" t="n">
        <x:v>8764</x:v>
      </x:c>
      <x:c r="E78" s="54" t="n">
        <x:f>F78/86400</x:f>
        <x:v>0.001690586423611111</x:v>
      </x:c>
      <x:c r="F78" s="55" t="n">
        <x:f>ROUND(D78/'概览'!$B$6,6)</x:f>
        <x:v>146.066667</x:v>
      </x:c>
      <x:c r="G78" s="55" t="n">
        <x:f>ROUND(F78-F77,6)</x:f>
        <x:v>0.383334</x:v>
      </x:c>
      <x:c r="H78" s="55" t="n">
        <x:f>IF(AND(B78&lt;&gt;"",B78=B77),ROUND(F78-F77,6),"")</x:f>
        <x:v>0.383334</x:v>
      </x:c>
      <x:c r="I78" s="56" t="str">
        <x:v>有效回合</x:v>
      </x:c>
    </x:row>
    <x:row r="79">
      <x:c r="A79" s="53" t="n">
        <x:v>78</x:v>
      </x:c>
      <x:c r="B79" s="53" t="n">
        <x:v>19</x:v>
      </x:c>
      <x:c r="C79" s="53" t="n">
        <x:v>3</x:v>
      </x:c>
      <x:c r="D79" s="53" t="n">
        <x:v>8785</x:v>
      </x:c>
      <x:c r="E79" s="54" t="n">
        <x:f>F79/86400</x:f>
        <x:v>0.0016946373495370368</x:v>
      </x:c>
      <x:c r="F79" s="55" t="n">
        <x:f>ROUND(D79/'概览'!$B$6,6)</x:f>
        <x:v>146.416667</x:v>
      </x:c>
      <x:c r="G79" s="55" t="n">
        <x:f>ROUND(F79-F78,6)</x:f>
        <x:v>0.35</x:v>
      </x:c>
      <x:c r="H79" s="55" t="n">
        <x:f>IF(AND(B79&lt;&gt;"",B79=B78),ROUND(F79-F78,6),"")</x:f>
        <x:v>0.35</x:v>
      </x:c>
      <x:c r="I79" s="56" t="str">
        <x:v>有效回合</x:v>
      </x:c>
    </x:row>
    <x:row r="80">
      <x:c r="A80" s="53" t="n">
        <x:v>79</x:v>
      </x:c>
      <x:c r="B80" s="53" t="n">
        <x:v>19</x:v>
      </x:c>
      <x:c r="C80" s="53" t="n">
        <x:v>4</x:v>
      </x:c>
      <x:c r="D80" s="53" t="n">
        <x:v>8833</x:v>
      </x:c>
      <x:c r="E80" s="54" t="n">
        <x:f>F80/86400</x:f>
        <x:v>0.0017038966087962962</x:v>
      </x:c>
      <x:c r="F80" s="55" t="n">
        <x:f>ROUND(D80/'概览'!$B$6,6)</x:f>
        <x:v>147.216667</x:v>
      </x:c>
      <x:c r="G80" s="55" t="n">
        <x:f>ROUND(F80-F79,6)</x:f>
        <x:v>0.8</x:v>
      </x:c>
      <x:c r="H80" s="55" t="n">
        <x:f>IF(AND(B80&lt;&gt;"",B80=B79),ROUND(F80-F79,6),"")</x:f>
        <x:v>0.8</x:v>
      </x:c>
      <x:c r="I80" s="56" t="str">
        <x:v>有效回合</x:v>
      </x:c>
    </x:row>
    <x:row r="81">
      <x:c r="A81" s="53" t="n">
        <x:v>80</x:v>
      </x:c>
      <x:c r="B81" s="53" t="n">
        <x:v>19</x:v>
      </x:c>
      <x:c r="C81" s="53" t="n">
        <x:v>5</x:v>
      </x:c>
      <x:c r="D81" s="53" t="n">
        <x:v>8903</x:v>
      </x:c>
      <x:c r="E81" s="54" t="n">
        <x:f>F81/86400</x:f>
        <x:v>0.0017173996875</x:v>
      </x:c>
      <x:c r="F81" s="55" t="n">
        <x:f>ROUND(D81/'概览'!$B$6,6)</x:f>
        <x:v>148.383333</x:v>
      </x:c>
      <x:c r="G81" s="55" t="n">
        <x:f>ROUND(F81-F80,6)</x:f>
        <x:v>1.166666</x:v>
      </x:c>
      <x:c r="H81" s="55" t="n">
        <x:f>IF(AND(B81&lt;&gt;"",B81=B80),ROUND(F81-F80,6),"")</x:f>
        <x:v>1.166666</x:v>
      </x:c>
      <x:c r="I81" s="56" t="str">
        <x:v>有效回合</x:v>
      </x:c>
    </x:row>
    <x:row r="82">
      <x:c r="A82" s="53" t="n">
        <x:v>81</x:v>
      </x:c>
      <x:c r="B82" s="53" t="n">
        <x:v>19</x:v>
      </x:c>
      <x:c r="C82" s="53" t="n">
        <x:v>6</x:v>
      </x:c>
      <x:c r="D82" s="53" t="n">
        <x:v>8922</x:v>
      </x:c>
      <x:c r="E82" s="54" t="n">
        <x:f>F82/86400</x:f>
        <x:v>0.0017210648148148146</x:v>
      </x:c>
      <x:c r="F82" s="55" t="n">
        <x:f>ROUND(D82/'概览'!$B$6,6)</x:f>
        <x:v>148.7</x:v>
      </x:c>
      <x:c r="G82" s="55" t="n">
        <x:f>ROUND(F82-F81,6)</x:f>
        <x:v>0.316667</x:v>
      </x:c>
      <x:c r="H82" s="55" t="n">
        <x:f>IF(AND(B82&lt;&gt;"",B82=B81),ROUND(F82-F81,6),"")</x:f>
        <x:v>0.316667</x:v>
      </x:c>
      <x:c r="I82" s="56" t="str">
        <x:v>有效回合</x:v>
      </x:c>
    </x:row>
    <x:row r="83">
      <x:c r="A83" s="53" t="n">
        <x:v>82</x:v>
      </x:c>
      <x:c r="B83" s="53" t="n">
        <x:v>20</x:v>
      </x:c>
      <x:c r="C83" s="53" t="n">
        <x:v>1</x:v>
      </x:c>
      <x:c r="D83" s="53" t="n">
        <x:v>9151</x:v>
      </x:c>
      <x:c r="E83" s="54" t="n">
        <x:f>F83/86400</x:f>
        <x:v>0.0017652392013888891</x:v>
      </x:c>
      <x:c r="F83" s="55" t="n">
        <x:f>ROUND(D83/'概览'!$B$6,6)</x:f>
        <x:v>152.516667</x:v>
      </x:c>
      <x:c r="G83" s="55" t="n">
        <x:f>ROUND(F83-F82,6)</x:f>
        <x:v>3.816667</x:v>
      </x:c>
      <x:c r="H83" s="55" t="str">
        <x:f>IF(AND(B83&lt;&gt;"",B83=B82),ROUND(F83-F82,6),"")</x:f>
      </x:c>
      <x:c r="I83" s="56" t="str">
        <x:v>有效回合</x:v>
      </x:c>
    </x:row>
    <x:row r="84">
      <x:c r="A84" s="53" t="n">
        <x:v>83</x:v>
      </x:c>
      <x:c r="B84" s="53" t="n">
        <x:v>20</x:v>
      </x:c>
      <x:c r="C84" s="53" t="n">
        <x:v>2</x:v>
      </x:c>
      <x:c r="D84" s="53" t="n">
        <x:v>9225</x:v>
      </x:c>
      <x:c r="E84" s="54" t="n">
        <x:f>F84/86400</x:f>
        <x:v>0.0017795138888888889</x:v>
      </x:c>
      <x:c r="F84" s="55" t="n">
        <x:f>ROUND(D84/'概览'!$B$6,6)</x:f>
        <x:v>153.75</x:v>
      </x:c>
      <x:c r="G84" s="55" t="n">
        <x:f>ROUND(F84-F83,6)</x:f>
        <x:v>1.233333</x:v>
      </x:c>
      <x:c r="H84" s="55" t="n">
        <x:f>IF(AND(B84&lt;&gt;"",B84=B83),ROUND(F84-F83,6),"")</x:f>
        <x:v>1.233333</x:v>
      </x:c>
      <x:c r="I84" s="56" t="str">
        <x:v>有效回合</x:v>
      </x:c>
    </x:row>
    <x:row r="85">
      <x:c r="A85" s="53" t="n">
        <x:v>84</x:v>
      </x:c>
      <x:c r="B85" s="53" t="n">
        <x:v>20</x:v>
      </x:c>
      <x:c r="C85" s="53" t="n">
        <x:v>3</x:v>
      </x:c>
      <x:c r="D85" s="53" t="n">
        <x:v>9334</x:v>
      </x:c>
      <x:c r="E85" s="54" t="n">
        <x:f>F85/86400</x:f>
        <x:v>0.0018005401273148147</x:v>
      </x:c>
      <x:c r="F85" s="55" t="n">
        <x:f>ROUND(D85/'概览'!$B$6,6)</x:f>
        <x:v>155.566667</x:v>
      </x:c>
      <x:c r="G85" s="55" t="n">
        <x:f>ROUND(F85-F84,6)</x:f>
        <x:v>1.816667</x:v>
      </x:c>
      <x:c r="H85" s="55" t="n">
        <x:f>IF(AND(B85&lt;&gt;"",B85=B84),ROUND(F85-F84,6),"")</x:f>
        <x:v>1.816667</x:v>
      </x:c>
      <x:c r="I85" s="56" t="str">
        <x:v>有效回合</x:v>
      </x:c>
    </x:row>
    <x:row r="86">
      <x:c r="A86" s="53" t="n">
        <x:v>85</x:v>
      </x:c>
      <x:c r="B86" s="53" t="n">
        <x:v>21</x:v>
      </x:c>
      <x:c r="C86" s="53" t="n">
        <x:v>1</x:v>
      </x:c>
      <x:c r="D86" s="53" t="n">
        <x:v>9607</x:v>
      </x:c>
      <x:c r="E86" s="54" t="n">
        <x:f>F86/86400</x:f>
        <x:v>0.001853202164351852</x:v>
      </x:c>
      <x:c r="F86" s="55" t="n">
        <x:f>ROUND(D86/'概览'!$B$6,6)</x:f>
        <x:v>160.116667</x:v>
      </x:c>
      <x:c r="G86" s="55" t="n">
        <x:f>ROUND(F86-F85,6)</x:f>
        <x:v>4.55</x:v>
      </x:c>
      <x:c r="H86" s="55" t="str">
        <x:f>IF(AND(B86&lt;&gt;"",B86=B85),ROUND(F86-F85,6),"")</x:f>
      </x:c>
      <x:c r="I86" s="56" t="str">
        <x:v>有效回合</x:v>
      </x:c>
    </x:row>
    <x:row r="87">
      <x:c r="A87" s="53" t="n">
        <x:v>86</x:v>
      </x:c>
      <x:c r="B87" s="53" t="n">
        <x:v>21</x:v>
      </x:c>
      <x:c r="C87" s="53" t="n">
        <x:v>2</x:v>
      </x:c>
      <x:c r="D87" s="53" t="n">
        <x:v>9650</x:v>
      </x:c>
      <x:c r="E87" s="54" t="n">
        <x:f>F87/86400</x:f>
        <x:v>0.0018614969097222223</x:v>
      </x:c>
      <x:c r="F87" s="55" t="n">
        <x:f>ROUND(D87/'概览'!$B$6,6)</x:f>
        <x:v>160.833333</x:v>
      </x:c>
      <x:c r="G87" s="55" t="n">
        <x:f>ROUND(F87-F86,6)</x:f>
        <x:v>0.716666</x:v>
      </x:c>
      <x:c r="H87" s="55" t="n">
        <x:f>IF(AND(B87&lt;&gt;"",B87=B86),ROUND(F87-F86,6),"")</x:f>
        <x:v>0.716666</x:v>
      </x:c>
      <x:c r="I87" s="56" t="str">
        <x:v>有效回合</x:v>
      </x:c>
    </x:row>
    <x:row r="88">
      <x:c r="A88" s="53" t="n">
        <x:v>87</x:v>
      </x:c>
      <x:c r="B88" s="53" t="n">
        <x:v>21</x:v>
      </x:c>
      <x:c r="C88" s="53" t="n">
        <x:v>3</x:v>
      </x:c>
      <x:c r="D88" s="53" t="n">
        <x:v>9675</x:v>
      </x:c>
      <x:c r="E88" s="54" t="n">
        <x:f>F88/86400</x:f>
        <x:v>0.0018663194444444445</x:v>
      </x:c>
      <x:c r="F88" s="55" t="n">
        <x:f>ROUND(D88/'概览'!$B$6,6)</x:f>
        <x:v>161.25</x:v>
      </x:c>
      <x:c r="G88" s="55" t="n">
        <x:f>ROUND(F88-F87,6)</x:f>
        <x:v>0.416667</x:v>
      </x:c>
      <x:c r="H88" s="55" t="n">
        <x:f>IF(AND(B88&lt;&gt;"",B88=B87),ROUND(F88-F87,6),"")</x:f>
        <x:v>0.416667</x:v>
      </x:c>
      <x:c r="I88" s="56" t="str">
        <x:v>有效回合</x:v>
      </x:c>
    </x:row>
    <x:row r="89">
      <x:c r="A89" s="53" t="n">
        <x:v>88</x:v>
      </x:c>
      <x:c r="B89" s="53" t="n">
        <x:v>21</x:v>
      </x:c>
      <x:c r="C89" s="53" t="n">
        <x:v>4</x:v>
      </x:c>
      <x:c r="D89" s="53" t="n">
        <x:v>9853</x:v>
      </x:c>
      <x:c r="E89" s="54" t="n">
        <x:f>F89/86400</x:f>
        <x:v>0.0019006558680555556</x:v>
      </x:c>
      <x:c r="F89" s="55" t="n">
        <x:f>ROUND(D89/'概览'!$B$6,6)</x:f>
        <x:v>164.216667</x:v>
      </x:c>
      <x:c r="G89" s="55" t="n">
        <x:f>ROUND(F89-F88,6)</x:f>
        <x:v>2.966667</x:v>
      </x:c>
      <x:c r="H89" s="55" t="n">
        <x:f>IF(AND(B89&lt;&gt;"",B89=B88),ROUND(F89-F88,6),"")</x:f>
        <x:v>2.966667</x:v>
      </x:c>
      <x:c r="I89" s="56" t="str">
        <x:v>有效回合</x:v>
      </x:c>
    </x:row>
    <x:row r="90">
      <x:c r="A90" s="53" t="n">
        <x:v>89</x:v>
      </x:c>
      <x:c r="B90" s="53" t="n">
        <x:v>21</x:v>
      </x:c>
      <x:c r="C90" s="53" t="n">
        <x:v>5</x:v>
      </x:c>
      <x:c r="D90" s="53" t="n">
        <x:v>9905</x:v>
      </x:c>
      <x:c r="E90" s="54" t="n">
        <x:f>F90/86400</x:f>
        <x:v>0.0019106867245370371</x:v>
      </x:c>
      <x:c r="F90" s="55" t="n">
        <x:f>ROUND(D90/'概览'!$B$6,6)</x:f>
        <x:v>165.083333</x:v>
      </x:c>
      <x:c r="G90" s="55" t="n">
        <x:f>ROUND(F90-F89,6)</x:f>
        <x:v>0.866666</x:v>
      </x:c>
      <x:c r="H90" s="55" t="n">
        <x:f>IF(AND(B90&lt;&gt;"",B90=B89),ROUND(F90-F89,6),"")</x:f>
        <x:v>0.866666</x:v>
      </x:c>
      <x:c r="I90" s="56" t="str">
        <x:v>有效回合</x:v>
      </x:c>
    </x:row>
    <x:row r="91">
      <x:c r="A91" s="53" t="n">
        <x:v>90</x:v>
      </x:c>
      <x:c r="B91" s="53" t="n">
        <x:v>21</x:v>
      </x:c>
      <x:c r="C91" s="53" t="n">
        <x:v>6</x:v>
      </x:c>
      <x:c r="D91" s="53" t="n">
        <x:v>9955</x:v>
      </x:c>
      <x:c r="E91" s="54" t="n">
        <x:f>F91/86400</x:f>
        <x:v>0.0019203317939814814</x:v>
      </x:c>
      <x:c r="F91" s="55" t="n">
        <x:f>ROUND(D91/'概览'!$B$6,6)</x:f>
        <x:v>165.916667</x:v>
      </x:c>
      <x:c r="G91" s="55" t="n">
        <x:f>ROUND(F91-F90,6)</x:f>
        <x:v>0.833334</x:v>
      </x:c>
      <x:c r="H91" s="55" t="n">
        <x:f>IF(AND(B91&lt;&gt;"",B91=B90),ROUND(F91-F90,6),"")</x:f>
        <x:v>0.833334</x:v>
      </x:c>
      <x:c r="I91" s="56" t="str">
        <x:v>有效回合</x:v>
      </x:c>
    </x:row>
    <x:row r="92">
      <x:c r="A92" s="53" t="n">
        <x:v>91</x:v>
      </x:c>
      <x:c r="B92" s="53" t="n">
        <x:v>22</x:v>
      </x:c>
      <x:c r="C92" s="53" t="n">
        <x:v>1</x:v>
      </x:c>
      <x:c r="D92" s="53" t="n">
        <x:v>10240</x:v>
      </x:c>
      <x:c r="E92" s="54" t="n">
        <x:f>F92/86400</x:f>
        <x:v>0.0019753086458333333</x:v>
      </x:c>
      <x:c r="F92" s="55" t="n">
        <x:f>ROUND(D92/'概览'!$B$6,6)</x:f>
        <x:v>170.666667</x:v>
      </x:c>
      <x:c r="G92" s="55" t="n">
        <x:f>ROUND(F92-F91,6)</x:f>
        <x:v>4.75</x:v>
      </x:c>
      <x:c r="H92" s="55" t="str">
        <x:f>IF(AND(B92&lt;&gt;"",B92=B91),ROUND(F92-F91,6),"")</x:f>
      </x:c>
      <x:c r="I92" s="56" t="str">
        <x:v>有效回合</x:v>
      </x:c>
    </x:row>
    <x:row r="93">
      <x:c r="A93" s="53" t="n">
        <x:v>92</x:v>
      </x:c>
      <x:c r="B93" s="53" t="n">
        <x:v>22</x:v>
      </x:c>
      <x:c r="C93" s="53" t="n">
        <x:v>2</x:v>
      </x:c>
      <x:c r="D93" s="53" t="n">
        <x:v>10262</x:v>
      </x:c>
      <x:c r="E93" s="54" t="n">
        <x:f>F93/86400</x:f>
        <x:v>0.0019795524652777776</x:v>
      </x:c>
      <x:c r="F93" s="55" t="n">
        <x:f>ROUND(D93/'概览'!$B$6,6)</x:f>
        <x:v>171.033333</x:v>
      </x:c>
      <x:c r="G93" s="55" t="n">
        <x:f>ROUND(F93-F92,6)</x:f>
        <x:v>0.366666</x:v>
      </x:c>
      <x:c r="H93" s="55" t="n">
        <x:f>IF(AND(B93&lt;&gt;"",B93=B92),ROUND(F93-F92,6),"")</x:f>
        <x:v>0.366666</x:v>
      </x:c>
      <x:c r="I93" s="56" t="str">
        <x:v>有效回合</x:v>
      </x:c>
    </x:row>
    <x:row r="94">
      <x:c r="A94" s="53" t="n">
        <x:v>93</x:v>
      </x:c>
      <x:c r="B94" s="53" t="n">
        <x:v>22</x:v>
      </x:c>
      <x:c r="C94" s="53" t="n">
        <x:v>3</x:v>
      </x:c>
      <x:c r="D94" s="53" t="n">
        <x:v>10299</x:v>
      </x:c>
      <x:c r="E94" s="54" t="n">
        <x:f>F94/86400</x:f>
        <x:v>0.001986689814814815</x:v>
      </x:c>
      <x:c r="F94" s="55" t="n">
        <x:f>ROUND(D94/'概览'!$B$6,6)</x:f>
        <x:v>171.65</x:v>
      </x:c>
      <x:c r="G94" s="55" t="n">
        <x:f>ROUND(F94-F93,6)</x:f>
        <x:v>0.616667</x:v>
      </x:c>
      <x:c r="H94" s="55" t="n">
        <x:f>IF(AND(B94&lt;&gt;"",B94=B93),ROUND(F94-F93,6),"")</x:f>
        <x:v>0.616667</x:v>
      </x:c>
      <x:c r="I94" s="56" t="str">
        <x:v>有效回合</x:v>
      </x:c>
    </x:row>
    <x:row r="95">
      <x:c r="A95" s="53" t="n">
        <x:v>94</x:v>
      </x:c>
      <x:c r="B95" s="53" t="n">
        <x:v>23</x:v>
      </x:c>
      <x:c r="C95" s="53" t="n">
        <x:v>1</x:v>
      </x:c>
      <x:c r="D95" s="53" t="n">
        <x:v>10665</x:v>
      </x:c>
      <x:c r="E95" s="54" t="n">
        <x:f>F95/86400</x:f>
        <x:v>0.0020572916666666665</x:v>
      </x:c>
      <x:c r="F95" s="55" t="n">
        <x:f>ROUND(D95/'概览'!$B$6,6)</x:f>
        <x:v>177.75</x:v>
      </x:c>
      <x:c r="G95" s="55" t="n">
        <x:f>ROUND(F95-F94,6)</x:f>
        <x:v>6.1</x:v>
      </x:c>
      <x:c r="H95" s="55" t="str">
        <x:f>IF(AND(B95&lt;&gt;"",B95=B94),ROUND(F95-F94,6),"")</x:f>
      </x:c>
      <x:c r="I95" s="56" t="str">
        <x:v>有效回合</x:v>
      </x:c>
    </x:row>
    <x:row r="96">
      <x:c r="A96" s="53" t="n">
        <x:v>95</x:v>
      </x:c>
      <x:c r="B96" s="53" t="n">
        <x:v>23</x:v>
      </x:c>
      <x:c r="C96" s="53" t="n">
        <x:v>2</x:v>
      </x:c>
      <x:c r="D96" s="53" t="n">
        <x:v>10702</x:v>
      </x:c>
      <x:c r="E96" s="54" t="n">
        <x:f>F96/86400</x:f>
        <x:v>0.0020644290162037037</x:v>
      </x:c>
      <x:c r="F96" s="55" t="n">
        <x:f>ROUND(D96/'概览'!$B$6,6)</x:f>
        <x:v>178.366667</x:v>
      </x:c>
      <x:c r="G96" s="55" t="n">
        <x:f>ROUND(F96-F95,6)</x:f>
        <x:v>0.616667</x:v>
      </x:c>
      <x:c r="H96" s="55" t="n">
        <x:f>IF(AND(B96&lt;&gt;"",B96=B95),ROUND(F96-F95,6),"")</x:f>
        <x:v>0.616667</x:v>
      </x:c>
      <x:c r="I96" s="56" t="str">
        <x:v>有效回合</x:v>
      </x:c>
    </x:row>
    <x:row r="97">
      <x:c r="A97" s="53" t="n">
        <x:v>96</x:v>
      </x:c>
      <x:c r="B97" s="53" t="n">
        <x:v>23</x:v>
      </x:c>
      <x:c r="C97" s="53" t="n">
        <x:v>3</x:v>
      </x:c>
      <x:c r="D97" s="53" t="n">
        <x:v>10728</x:v>
      </x:c>
      <x:c r="E97" s="54" t="n">
        <x:f>F97/86400</x:f>
        <x:v>0.0020694444444444445</x:v>
      </x:c>
      <x:c r="F97" s="55" t="n">
        <x:f>ROUND(D97/'概览'!$B$6,6)</x:f>
        <x:v>178.8</x:v>
      </x:c>
      <x:c r="G97" s="55" t="n">
        <x:f>ROUND(F97-F96,6)</x:f>
        <x:v>0.433333</x:v>
      </x:c>
      <x:c r="H97" s="55" t="n">
        <x:f>IF(AND(B97&lt;&gt;"",B97=B96),ROUND(F97-F96,6),"")</x:f>
        <x:v>0.433333</x:v>
      </x:c>
      <x:c r="I97" s="56" t="str">
        <x:v>有效回合</x:v>
      </x:c>
    </x:row>
    <x:row r="98">
      <x:c r="A98" s="53" t="n">
        <x:v>97</x:v>
      </x:c>
      <x:c r="B98" s="53" t="n">
        <x:v>24</x:v>
      </x:c>
      <x:c r="C98" s="53" t="n">
        <x:v>1</x:v>
      </x:c>
      <x:c r="D98" s="53" t="n">
        <x:v>11073</x:v>
      </x:c>
      <x:c r="E98" s="54" t="n">
        <x:f>F98/86400</x:f>
        <x:v>0.0021359953703703706</x:v>
      </x:c>
      <x:c r="F98" s="55" t="n">
        <x:f>ROUND(D98/'概览'!$B$6,6)</x:f>
        <x:v>184.55</x:v>
      </x:c>
      <x:c r="G98" s="55" t="n">
        <x:f>ROUND(F98-F97,6)</x:f>
        <x:v>5.75</x:v>
      </x:c>
      <x:c r="H98" s="55" t="str">
        <x:f>IF(AND(B98&lt;&gt;"",B98=B97),ROUND(F98-F97,6),"")</x:f>
      </x:c>
      <x:c r="I98" s="56" t="str">
        <x:v>有效回合</x:v>
      </x:c>
    </x:row>
    <x:row r="99">
      <x:c r="A99" s="53" t="n">
        <x:v>98</x:v>
      </x:c>
      <x:c r="B99" s="53" t="n">
        <x:v>24</x:v>
      </x:c>
      <x:c r="C99" s="53" t="n">
        <x:v>2</x:v>
      </x:c>
      <x:c r="D99" s="53" t="n">
        <x:v>11097</x:v>
      </x:c>
      <x:c r="E99" s="54" t="n">
        <x:f>F99/86400</x:f>
        <x:v>0.0021406249999999997</x:v>
      </x:c>
      <x:c r="F99" s="55" t="n">
        <x:f>ROUND(D99/'概览'!$B$6,6)</x:f>
        <x:v>184.95</x:v>
      </x:c>
      <x:c r="G99" s="55" t="n">
        <x:f>ROUND(F99-F98,6)</x:f>
        <x:v>0.4</x:v>
      </x:c>
      <x:c r="H99" s="55" t="n">
        <x:f>IF(AND(B99&lt;&gt;"",B99=B98),ROUND(F99-F98,6),"")</x:f>
        <x:v>0.4</x:v>
      </x:c>
      <x:c r="I99" s="56" t="str">
        <x:v>有效回合</x:v>
      </x:c>
    </x:row>
    <x:row r="100">
      <x:c r="A100" s="53" t="n">
        <x:v>99</x:v>
      </x:c>
      <x:c r="B100" s="53" t="n">
        <x:v>25</x:v>
      </x:c>
      <x:c r="C100" s="53" t="n">
        <x:v>1</x:v>
      </x:c>
      <x:c r="D100" s="53" t="n">
        <x:v>11358</x:v>
      </x:c>
      <x:c r="E100" s="54" t="n">
        <x:f>F100/86400</x:f>
        <x:v>0.002190972222222222</x:v>
      </x:c>
      <x:c r="F100" s="55" t="n">
        <x:f>ROUND(D100/'概览'!$B$6,6)</x:f>
        <x:v>189.3</x:v>
      </x:c>
      <x:c r="G100" s="55" t="n">
        <x:f>ROUND(F100-F99,6)</x:f>
        <x:v>4.35</x:v>
      </x:c>
      <x:c r="H100" s="55" t="str">
        <x:f>IF(AND(B100&lt;&gt;"",B100=B99),ROUND(F100-F99,6),"")</x:f>
      </x:c>
      <x:c r="I100" s="56" t="str">
        <x:v>有效回合</x:v>
      </x:c>
    </x:row>
    <x:row r="101">
      <x:c r="A101" s="53" t="n">
        <x:v>100</x:v>
      </x:c>
      <x:c r="B101" s="53" t="n">
        <x:v>25</x:v>
      </x:c>
      <x:c r="C101" s="53" t="n">
        <x:v>2</x:v>
      </x:c>
      <x:c r="D101" s="53" t="n">
        <x:v>11381</x:v>
      </x:c>
      <x:c r="E101" s="54" t="n">
        <x:f>F101/86400</x:f>
        <x:v>0.0021954089467592594</x:v>
      </x:c>
      <x:c r="F101" s="55" t="n">
        <x:f>ROUND(D101/'概览'!$B$6,6)</x:f>
        <x:v>189.683333</x:v>
      </x:c>
      <x:c r="G101" s="55" t="n">
        <x:f>ROUND(F101-F100,6)</x:f>
        <x:v>0.383333</x:v>
      </x:c>
      <x:c r="H101" s="55" t="n">
        <x:f>IF(AND(B101&lt;&gt;"",B101=B100),ROUND(F101-F100,6),"")</x:f>
        <x:v>0.383333</x:v>
      </x:c>
      <x:c r="I101" s="56" t="str">
        <x:v>有效回合</x:v>
      </x:c>
    </x:row>
    <x:row r="102">
      <x:c r="A102" s="53" t="n">
        <x:v>101</x:v>
      </x:c>
      <x:c r="B102" s="53" t="n">
        <x:v>25</x:v>
      </x:c>
      <x:c r="C102" s="53" t="n">
        <x:v>3</x:v>
      </x:c>
      <x:c r="D102" s="53" t="n">
        <x:v>11404</x:v>
      </x:c>
      <x:c r="E102" s="54" t="n">
        <x:f>F102/86400</x:f>
        <x:v>0.0021998456828703702</x:v>
      </x:c>
      <x:c r="F102" s="55" t="n">
        <x:f>ROUND(D102/'概览'!$B$6,6)</x:f>
        <x:v>190.066667</x:v>
      </x:c>
      <x:c r="G102" s="55" t="n">
        <x:f>ROUND(F102-F101,6)</x:f>
        <x:v>0.383334</x:v>
      </x:c>
      <x:c r="H102" s="55" t="n">
        <x:f>IF(AND(B102&lt;&gt;"",B102=B101),ROUND(F102-F101,6),"")</x:f>
        <x:v>0.383334</x:v>
      </x:c>
      <x:c r="I102" s="56" t="str">
        <x:v>有效回合</x:v>
      </x:c>
    </x:row>
    <x:row r="103">
      <x:c r="A103" s="53" t="n">
        <x:v>102</x:v>
      </x:c>
      <x:c r="B103" s="53" t="n">
        <x:v>25</x:v>
      </x:c>
      <x:c r="C103" s="53" t="n">
        <x:v>4</x:v>
      </x:c>
      <x:c r="D103" s="53" t="n">
        <x:v>11434</x:v>
      </x:c>
      <x:c r="E103" s="54" t="n">
        <x:f>F103/86400</x:f>
        <x:v>0.0022056327199074075</x:v>
      </x:c>
      <x:c r="F103" s="55" t="n">
        <x:f>ROUND(D103/'概览'!$B$6,6)</x:f>
        <x:v>190.566667</x:v>
      </x:c>
      <x:c r="G103" s="55" t="n">
        <x:f>ROUND(F103-F102,6)</x:f>
        <x:v>0.5</x:v>
      </x:c>
      <x:c r="H103" s="55" t="n">
        <x:f>IF(AND(B103&lt;&gt;"",B103=B102),ROUND(F103-F102,6),"")</x:f>
        <x:v>0.5</x:v>
      </x:c>
      <x:c r="I103" s="56" t="str">
        <x:v>有效回合</x:v>
      </x:c>
    </x:row>
    <x:row r="104">
      <x:c r="A104" s="53" t="n">
        <x:v>103</x:v>
      </x:c>
      <x:c r="B104" s="53" t="n">
        <x:v>25</x:v>
      </x:c>
      <x:c r="C104" s="53" t="n">
        <x:v>5</x:v>
      </x:c>
      <x:c r="D104" s="53" t="n">
        <x:v>11489</x:v>
      </x:c>
      <x:c r="E104" s="54" t="n">
        <x:f>F104/86400</x:f>
        <x:v>0.0022162422800925926</x:v>
      </x:c>
      <x:c r="F104" s="55" t="n">
        <x:f>ROUND(D104/'概览'!$B$6,6)</x:f>
        <x:v>191.483333</x:v>
      </x:c>
      <x:c r="G104" s="55" t="n">
        <x:f>ROUND(F104-F103,6)</x:f>
        <x:v>0.916666</x:v>
      </x:c>
      <x:c r="H104" s="55" t="n">
        <x:f>IF(AND(B104&lt;&gt;"",B104=B103),ROUND(F104-F103,6),"")</x:f>
        <x:v>0.916666</x:v>
      </x:c>
      <x:c r="I104" s="56" t="str">
        <x:v>有效回合</x:v>
      </x:c>
    </x:row>
    <x:row r="105">
      <x:c r="A105" s="53" t="n">
        <x:v>104</x:v>
      </x:c>
      <x:c r="B105" s="53" t="n">
        <x:v>25</x:v>
      </x:c>
      <x:c r="C105" s="53" t="n">
        <x:v>6</x:v>
      </x:c>
      <x:c r="D105" s="53" t="n">
        <x:v>11519</x:v>
      </x:c>
      <x:c r="E105" s="54" t="n">
        <x:f>F105/86400</x:f>
        <x:v>0.0022220293171296293</x:v>
      </x:c>
      <x:c r="F105" s="55" t="n">
        <x:f>ROUND(D105/'概览'!$B$6,6)</x:f>
        <x:v>191.983333</x:v>
      </x:c>
      <x:c r="G105" s="55" t="n">
        <x:f>ROUND(F105-F104,6)</x:f>
        <x:v>0.5</x:v>
      </x:c>
      <x:c r="H105" s="55" t="n">
        <x:f>IF(AND(B105&lt;&gt;"",B105=B104),ROUND(F105-F104,6),"")</x:f>
        <x:v>0.5</x:v>
      </x:c>
      <x:c r="I105" s="56" t="str">
        <x:v>有效回合</x:v>
      </x:c>
    </x:row>
    <x:row r="106">
      <x:c r="A106" s="53" t="n">
        <x:v>105</x:v>
      </x:c>
      <x:c r="B106" s="53" t="n">
        <x:v>26</x:v>
      </x:c>
      <x:c r="C106" s="53" t="n">
        <x:v>1</x:v>
      </x:c>
      <x:c r="D106" s="53" t="n">
        <x:v>11779</x:v>
      </x:c>
      <x:c r="E106" s="54" t="n">
        <x:f>F106/86400</x:f>
        <x:v>0.002272183645833333</x:v>
      </x:c>
      <x:c r="F106" s="55" t="n">
        <x:f>ROUND(D106/'概览'!$B$6,6)</x:f>
        <x:v>196.316667</x:v>
      </x:c>
      <x:c r="G106" s="55" t="n">
        <x:f>ROUND(F106-F105,6)</x:f>
        <x:v>4.333334</x:v>
      </x:c>
      <x:c r="H106" s="55" t="str">
        <x:f>IF(AND(B106&lt;&gt;"",B106=B105),ROUND(F106-F105,6),"")</x:f>
      </x:c>
      <x:c r="I106" s="56" t="str">
        <x:v>有效回合</x:v>
      </x:c>
    </x:row>
    <x:row r="107">
      <x:c r="A107" s="53" t="n">
        <x:v>106</x:v>
      </x:c>
      <x:c r="B107" s="53" t="n">
        <x:v>26</x:v>
      </x:c>
      <x:c r="C107" s="53" t="n">
        <x:v>2</x:v>
      </x:c>
      <x:c r="D107" s="53" t="n">
        <x:v>11804</x:v>
      </x:c>
      <x:c r="E107" s="54" t="n">
        <x:f>F107/86400</x:f>
        <x:v>0.0022770061689814814</x:v>
      </x:c>
      <x:c r="F107" s="55" t="n">
        <x:f>ROUND(D107/'概览'!$B$6,6)</x:f>
        <x:v>196.733333</x:v>
      </x:c>
      <x:c r="G107" s="55" t="n">
        <x:f>ROUND(F107-F106,6)</x:f>
        <x:v>0.416666</x:v>
      </x:c>
      <x:c r="H107" s="55" t="n">
        <x:f>IF(AND(B107&lt;&gt;"",B107=B106),ROUND(F107-F106,6),"")</x:f>
        <x:v>0.416666</x:v>
      </x:c>
      <x:c r="I107" s="56" t="str">
        <x:v>有效回合</x:v>
      </x:c>
    </x:row>
    <x:row r="108">
      <x:c r="A108" s="53" t="n">
        <x:v>107</x:v>
      </x:c>
      <x:c r="B108" s="53" t="n">
        <x:v>26</x:v>
      </x:c>
      <x:c r="C108" s="53" t="n">
        <x:v>3</x:v>
      </x:c>
      <x:c r="D108" s="53" t="n">
        <x:v>11862</x:v>
      </x:c>
      <x:c r="E108" s="54" t="n">
        <x:f>F108/86400</x:f>
        <x:v>0.0022881944444444443</x:v>
      </x:c>
      <x:c r="F108" s="55" t="n">
        <x:f>ROUND(D108/'概览'!$B$6,6)</x:f>
        <x:v>197.7</x:v>
      </x:c>
      <x:c r="G108" s="55" t="n">
        <x:f>ROUND(F108-F107,6)</x:f>
        <x:v>0.966667</x:v>
      </x:c>
      <x:c r="H108" s="55" t="n">
        <x:f>IF(AND(B108&lt;&gt;"",B108=B107),ROUND(F108-F107,6),"")</x:f>
        <x:v>0.966667</x:v>
      </x:c>
      <x:c r="I108" s="56" t="str">
        <x:v>有效回合</x:v>
      </x:c>
    </x:row>
    <x:row r="109">
      <x:c r="A109" s="53" t="n">
        <x:v>108</x:v>
      </x:c>
      <x:c r="B109" s="53" t="n">
        <x:v>27</x:v>
      </x:c>
      <x:c r="C109" s="53" t="n">
        <x:v>1</x:v>
      </x:c>
      <x:c r="D109" s="53" t="n">
        <x:v>12178</x:v>
      </x:c>
      <x:c r="E109" s="54" t="n">
        <x:f>F109/86400</x:f>
        <x:v>0.002349151238425926</x:v>
      </x:c>
      <x:c r="F109" s="55" t="n">
        <x:f>ROUND(D109/'概览'!$B$6,6)</x:f>
        <x:v>202.966667</x:v>
      </x:c>
      <x:c r="G109" s="55" t="n">
        <x:f>ROUND(F109-F108,6)</x:f>
        <x:v>5.266667</x:v>
      </x:c>
      <x:c r="H109" s="55" t="str">
        <x:f>IF(AND(B109&lt;&gt;"",B109=B108),ROUND(F109-F108,6),"")</x:f>
      </x:c>
      <x:c r="I109" s="56" t="str">
        <x:v>有效回合</x:v>
      </x:c>
    </x:row>
    <x:row r="110">
      <x:c r="A110" s="53" t="n">
        <x:v>109</x:v>
      </x:c>
      <x:c r="B110" s="53" t="n">
        <x:v>27</x:v>
      </x:c>
      <x:c r="C110" s="53" t="n">
        <x:v>2</x:v>
      </x:c>
      <x:c r="D110" s="53" t="n">
        <x:v>12233</x:v>
      </x:c>
      <x:c r="E110" s="54" t="n">
        <x:f>F110/86400</x:f>
        <x:v>0.002359760798611111</x:v>
      </x:c>
      <x:c r="F110" s="55" t="n">
        <x:f>ROUND(D110/'概览'!$B$6,6)</x:f>
        <x:v>203.883333</x:v>
      </x:c>
      <x:c r="G110" s="55" t="n">
        <x:f>ROUND(F110-F109,6)</x:f>
        <x:v>0.916666</x:v>
      </x:c>
      <x:c r="H110" s="55" t="n">
        <x:f>IF(AND(B110&lt;&gt;"",B110=B109),ROUND(F110-F109,6),"")</x:f>
        <x:v>0.916666</x:v>
      </x:c>
      <x:c r="I110" s="56" t="str">
        <x:v>有效回合</x:v>
      </x:c>
    </x:row>
    <x:row r="111">
      <x:c r="A111" s="53" t="n">
        <x:v>110</x:v>
      </x:c>
      <x:c r="B111" s="53" t="n">
        <x:v>28</x:v>
      </x:c>
      <x:c r="C111" s="53" t="n">
        <x:v>1</x:v>
      </x:c>
      <x:c r="D111" s="53" t="n">
        <x:v>12575</x:v>
      </x:c>
      <x:c r="E111" s="54" t="n">
        <x:f>F111/86400</x:f>
        <x:v>0.0024257330208333336</x:v>
      </x:c>
      <x:c r="F111" s="55" t="n">
        <x:f>ROUND(D111/'概览'!$B$6,6)</x:f>
        <x:v>209.583333</x:v>
      </x:c>
      <x:c r="G111" s="55" t="n">
        <x:f>ROUND(F111-F110,6)</x:f>
        <x:v>5.7</x:v>
      </x:c>
      <x:c r="H111" s="55" t="str">
        <x:f>IF(AND(B111&lt;&gt;"",B111=B110),ROUND(F111-F110,6),"")</x:f>
      </x:c>
      <x:c r="I111" s="56" t="str">
        <x:v>有效回合</x:v>
      </x:c>
    </x:row>
    <x:row r="112">
      <x:c r="A112" s="53" t="n">
        <x:v>111</x:v>
      </x:c>
      <x:c r="B112" s="53" t="n">
        <x:v>28</x:v>
      </x:c>
      <x:c r="C112" s="53" t="n">
        <x:v>2</x:v>
      </x:c>
      <x:c r="D112" s="53" t="n">
        <x:v>12598</x:v>
      </x:c>
      <x:c r="E112" s="54" t="n">
        <x:f>F112/86400</x:f>
        <x:v>0.0024301697569444444</x:v>
      </x:c>
      <x:c r="F112" s="55" t="n">
        <x:f>ROUND(D112/'概览'!$B$6,6)</x:f>
        <x:v>209.966667</x:v>
      </x:c>
      <x:c r="G112" s="55" t="n">
        <x:f>ROUND(F112-F111,6)</x:f>
        <x:v>0.383334</x:v>
      </x:c>
      <x:c r="H112" s="55" t="n">
        <x:f>IF(AND(B112&lt;&gt;"",B112=B111),ROUND(F112-F111,6),"")</x:f>
        <x:v>0.383334</x:v>
      </x:c>
      <x:c r="I112" s="56" t="str">
        <x:v>有效回合</x:v>
      </x:c>
    </x:row>
    <x:row r="113">
      <x:c r="A113" s="53" t="n">
        <x:v>112</x:v>
      </x:c>
      <x:c r="B113" s="53" t="n">
        <x:v>29</x:v>
      </x:c>
      <x:c r="C113" s="53" t="n">
        <x:v>1</x:v>
      </x:c>
      <x:c r="D113" s="53" t="n">
        <x:v>12943</x:v>
      </x:c>
      <x:c r="E113" s="54" t="n">
        <x:f>F113/86400</x:f>
        <x:v>0.0024967206828703705</x:v>
      </x:c>
      <x:c r="F113" s="55" t="n">
        <x:f>ROUND(D113/'概览'!$B$6,6)</x:f>
        <x:v>215.716667</x:v>
      </x:c>
      <x:c r="G113" s="55" t="n">
        <x:f>ROUND(F113-F112,6)</x:f>
        <x:v>5.75</x:v>
      </x:c>
      <x:c r="H113" s="55" t="str">
        <x:f>IF(AND(B113&lt;&gt;"",B113=B112),ROUND(F113-F112,6),"")</x:f>
      </x:c>
      <x:c r="I113" s="56" t="str">
        <x:v>有效回合</x:v>
      </x:c>
    </x:row>
    <x:row r="114">
      <x:c r="A114" s="53" t="n">
        <x:v>113</x:v>
      </x:c>
      <x:c r="B114" s="53" t="n">
        <x:v>29</x:v>
      </x:c>
      <x:c r="C114" s="53" t="n">
        <x:v>2</x:v>
      </x:c>
      <x:c r="D114" s="53" t="n">
        <x:v>13001</x:v>
      </x:c>
      <x:c r="E114" s="54" t="n">
        <x:f>F114/86400</x:f>
        <x:v>0.002507908946759259</x:v>
      </x:c>
      <x:c r="F114" s="55" t="n">
        <x:f>ROUND(D114/'概览'!$B$6,6)</x:f>
        <x:v>216.683333</x:v>
      </x:c>
      <x:c r="G114" s="55" t="n">
        <x:f>ROUND(F114-F113,6)</x:f>
        <x:v>0.966666</x:v>
      </x:c>
      <x:c r="H114" s="55" t="n">
        <x:f>IF(AND(B114&lt;&gt;"",B114=B113),ROUND(F114-F113,6),"")</x:f>
        <x:v>0.966666</x:v>
      </x:c>
      <x:c r="I114" s="56" t="str">
        <x:v>有效回合</x:v>
      </x:c>
    </x:row>
    <x:row r="115">
      <x:c r="A115" s="53" t="n">
        <x:v>114</x:v>
      </x:c>
      <x:c r="B115" s="53" t="n">
        <x:v>29</x:v>
      </x:c>
      <x:c r="C115" s="53" t="n">
        <x:v>3</x:v>
      </x:c>
      <x:c r="D115" s="53" t="n">
        <x:v>13056</x:v>
      </x:c>
      <x:c r="E115" s="54" t="n">
        <x:f>F115/86400</x:f>
        <x:v>0.0025185185185185185</x:v>
      </x:c>
      <x:c r="F115" s="55" t="n">
        <x:f>ROUND(D115/'概览'!$B$6,6)</x:f>
        <x:v>217.6</x:v>
      </x:c>
      <x:c r="G115" s="55" t="n">
        <x:f>ROUND(F115-F114,6)</x:f>
        <x:v>0.916667</x:v>
      </x:c>
      <x:c r="H115" s="55" t="n">
        <x:f>IF(AND(B115&lt;&gt;"",B115=B114),ROUND(F115-F114,6),"")</x:f>
        <x:v>0.916667</x:v>
      </x:c>
      <x:c r="I115" s="56" t="str">
        <x:v>有效回合</x:v>
      </x:c>
    </x:row>
    <x:row r="116">
      <x:c r="A116" s="53" t="n">
        <x:v>115</x:v>
      </x:c>
      <x:c r="B116" s="53" t="n">
        <x:v>30</x:v>
      </x:c>
      <x:c r="C116" s="53" t="n">
        <x:v>1</x:v>
      </x:c>
      <x:c r="D116" s="53" t="n">
        <x:v>13497</x:v>
      </x:c>
      <x:c r="E116" s="54" t="n">
        <x:f>F116/86400</x:f>
        <x:v>0.002603587962962963</x:v>
      </x:c>
      <x:c r="F116" s="55" t="n">
        <x:f>ROUND(D116/'概览'!$B$6,6)</x:f>
        <x:v>224.95</x:v>
      </x:c>
      <x:c r="G116" s="55" t="n">
        <x:f>ROUND(F116-F115,6)</x:f>
        <x:v>7.35</x:v>
      </x:c>
      <x:c r="H116" s="55" t="str">
        <x:f>IF(AND(B116&lt;&gt;"",B116=B115),ROUND(F116-F115,6),"")</x:f>
      </x:c>
      <x:c r="I116" s="56" t="str">
        <x:v>有效回合</x:v>
      </x:c>
    </x:row>
    <x:row r="117">
      <x:c r="A117" s="53" t="n">
        <x:v>116</x:v>
      </x:c>
      <x:c r="B117" s="53" t="n">
        <x:v>30</x:v>
      </x:c>
      <x:c r="C117" s="53" t="n">
        <x:v>2</x:v>
      </x:c>
      <x:c r="D117" s="53" t="n">
        <x:v>13530</x:v>
      </x:c>
      <x:c r="E117" s="54" t="n">
        <x:f>F117/86400</x:f>
        <x:v>0.0026099537037037037</x:v>
      </x:c>
      <x:c r="F117" s="55" t="n">
        <x:f>ROUND(D117/'概览'!$B$6,6)</x:f>
        <x:v>225.5</x:v>
      </x:c>
      <x:c r="G117" s="55" t="n">
        <x:f>ROUND(F117-F116,6)</x:f>
        <x:v>0.55</x:v>
      </x:c>
      <x:c r="H117" s="55" t="n">
        <x:f>IF(AND(B117&lt;&gt;"",B117=B116),ROUND(F117-F116,6),"")</x:f>
        <x:v>0.55</x:v>
      </x:c>
      <x:c r="I117" s="56" t="str">
        <x:v>有效回合</x:v>
      </x:c>
    </x:row>
    <x:row r="118">
      <x:c r="A118" s="53" t="n">
        <x:v>117</x:v>
      </x:c>
      <x:c r="B118" s="53" t="n">
        <x:v>30</x:v>
      </x:c>
      <x:c r="C118" s="53" t="n">
        <x:v>3</x:v>
      </x:c>
      <x:c r="D118" s="53" t="n">
        <x:v>13555</x:v>
      </x:c>
      <x:c r="E118" s="54" t="n">
        <x:f>F118/86400</x:f>
        <x:v>0.002614776238425926</x:v>
      </x:c>
      <x:c r="F118" s="55" t="n">
        <x:f>ROUND(D118/'概览'!$B$6,6)</x:f>
        <x:v>225.916667</x:v>
      </x:c>
      <x:c r="G118" s="55" t="n">
        <x:f>ROUND(F118-F117,6)</x:f>
        <x:v>0.416667</x:v>
      </x:c>
      <x:c r="H118" s="55" t="n">
        <x:f>IF(AND(B118&lt;&gt;"",B118=B117),ROUND(F118-F117,6),"")</x:f>
        <x:v>0.416667</x:v>
      </x:c>
      <x:c r="I118" s="56" t="str">
        <x:v>有效回合</x:v>
      </x:c>
    </x:row>
    <x:row r="119">
      <x:c r="A119" s="53" t="n">
        <x:v>118</x:v>
      </x:c>
      <x:c r="B119" s="53" t="n">
        <x:v>30</x:v>
      </x:c>
      <x:c r="C119" s="53" t="n">
        <x:v>4</x:v>
      </x:c>
      <x:c r="D119" s="53" t="n">
        <x:v>13678</x:v>
      </x:c>
      <x:c r="E119" s="54" t="n">
        <x:f>F119/86400</x:f>
        <x:v>0.002638503090277778</x:v>
      </x:c>
      <x:c r="F119" s="55" t="n">
        <x:f>ROUND(D119/'概览'!$B$6,6)</x:f>
        <x:v>227.966667</x:v>
      </x:c>
      <x:c r="G119" s="55" t="n">
        <x:f>ROUND(F119-F118,6)</x:f>
        <x:v>2.05</x:v>
      </x:c>
      <x:c r="H119" s="55" t="n">
        <x:f>IF(AND(B119&lt;&gt;"",B119=B118),ROUND(F119-F118,6),"")</x:f>
        <x:v>2.05</x:v>
      </x:c>
      <x:c r="I119" s="56" t="str">
        <x:v>有效回合</x:v>
      </x:c>
    </x:row>
    <x:row r="120">
      <x:c r="A120" s="53" t="n">
        <x:v>119</x:v>
      </x:c>
      <x:c r="B120" s="53" t="n">
        <x:v>31</x:v>
      </x:c>
      <x:c r="C120" s="53" t="n">
        <x:v>1</x:v>
      </x:c>
      <x:c r="D120" s="53" t="n">
        <x:v>14007</x:v>
      </x:c>
      <x:c r="E120" s="54" t="n">
        <x:f>F120/86400</x:f>
        <x:v>0.0027019675925925926</x:v>
      </x:c>
      <x:c r="F120" s="55" t="n">
        <x:f>ROUND(D120/'概览'!$B$6,6)</x:f>
        <x:v>233.45</x:v>
      </x:c>
      <x:c r="G120" s="55" t="n">
        <x:f>ROUND(F120-F119,6)</x:f>
        <x:v>5.483333</x:v>
      </x:c>
      <x:c r="H120" s="55" t="str">
        <x:f>IF(AND(B120&lt;&gt;"",B120=B119),ROUND(F120-F119,6),"")</x:f>
      </x:c>
      <x:c r="I120" s="56" t="str">
        <x:v>有效回合</x:v>
      </x:c>
    </x:row>
    <x:row r="121">
      <x:c r="A121" s="53" t="n">
        <x:v>120</x:v>
      </x:c>
      <x:c r="B121" s="53" t="n">
        <x:v>31</x:v>
      </x:c>
      <x:c r="C121" s="53" t="n">
        <x:v>2</x:v>
      </x:c>
      <x:c r="D121" s="53" t="n">
        <x:v>14041</x:v>
      </x:c>
      <x:c r="E121" s="54" t="n">
        <x:f>F121/86400</x:f>
        <x:v>0.002708526238425926</x:v>
      </x:c>
      <x:c r="F121" s="55" t="n">
        <x:f>ROUND(D121/'概览'!$B$6,6)</x:f>
        <x:v>234.016667</x:v>
      </x:c>
      <x:c r="G121" s="55" t="n">
        <x:f>ROUND(F121-F120,6)</x:f>
        <x:v>0.566667</x:v>
      </x:c>
      <x:c r="H121" s="55" t="n">
        <x:f>IF(AND(B121&lt;&gt;"",B121=B120),ROUND(F121-F120,6),"")</x:f>
        <x:v>0.566667</x:v>
      </x:c>
      <x:c r="I121" s="56" t="str">
        <x:v>有效回合</x:v>
      </x:c>
    </x:row>
    <x:row r="122">
      <x:c r="A122" s="53" t="n">
        <x:v>121</x:v>
      </x:c>
      <x:c r="B122" s="53" t="n">
        <x:v>32</x:v>
      </x:c>
      <x:c r="C122" s="53" t="n">
        <x:v>1</x:v>
      </x:c>
      <x:c r="D122" s="53" t="n">
        <x:v>14588</x:v>
      </x:c>
      <x:c r="E122" s="54" t="n">
        <x:f>F122/86400</x:f>
        <x:v>0.0028140432060185182</x:v>
      </x:c>
      <x:c r="F122" s="55" t="n">
        <x:f>ROUND(D122/'概览'!$B$6,6)</x:f>
        <x:v>243.133333</x:v>
      </x:c>
      <x:c r="G122" s="55" t="n">
        <x:f>ROUND(F122-F121,6)</x:f>
        <x:v>9.116666</x:v>
      </x:c>
      <x:c r="H122" s="55" t="str">
        <x:f>IF(AND(B122&lt;&gt;"",B122=B121),ROUND(F122-F121,6),"")</x:f>
      </x:c>
      <x:c r="I122" s="56" t="str">
        <x:v>有效回合</x:v>
      </x:c>
    </x:row>
    <x:row r="123">
      <x:c r="A123" s="53" t="n">
        <x:v>122</x:v>
      </x:c>
      <x:c r="B123" s="53" t="n">
        <x:v>32</x:v>
      </x:c>
      <x:c r="C123" s="53" t="n">
        <x:v>2</x:v>
      </x:c>
      <x:c r="D123" s="53" t="n">
        <x:v>14636</x:v>
      </x:c>
      <x:c r="E123" s="54" t="n">
        <x:f>F123/86400</x:f>
        <x:v>0.002823302465277778</x:v>
      </x:c>
      <x:c r="F123" s="55" t="n">
        <x:f>ROUND(D123/'概览'!$B$6,6)</x:f>
        <x:v>243.933333</x:v>
      </x:c>
      <x:c r="G123" s="55" t="n">
        <x:f>ROUND(F123-F122,6)</x:f>
        <x:v>0.8</x:v>
      </x:c>
      <x:c r="H123" s="55" t="n">
        <x:f>IF(AND(B123&lt;&gt;"",B123=B122),ROUND(F123-F122,6),"")</x:f>
        <x:v>0.8</x:v>
      </x:c>
      <x:c r="I123" s="56" t="str">
        <x:v>有效回合</x:v>
      </x:c>
    </x:row>
    <x:row r="124">
      <x:c r="A124" s="53" t="n">
        <x:v>123</x:v>
      </x:c>
      <x:c r="B124" s="53" t="n">
        <x:v>32</x:v>
      </x:c>
      <x:c r="C124" s="53" t="n">
        <x:v>3</x:v>
      </x:c>
      <x:c r="D124" s="53" t="n">
        <x:v>14659</x:v>
      </x:c>
      <x:c r="E124" s="54" t="n">
        <x:f>F124/86400</x:f>
        <x:v>0.0028277392013888888</x:v>
      </x:c>
      <x:c r="F124" s="55" t="n">
        <x:f>ROUND(D124/'概览'!$B$6,6)</x:f>
        <x:v>244.316667</x:v>
      </x:c>
      <x:c r="G124" s="55" t="n">
        <x:f>ROUND(F124-F123,6)</x:f>
        <x:v>0.383334</x:v>
      </x:c>
      <x:c r="H124" s="55" t="n">
        <x:f>IF(AND(B124&lt;&gt;"",B124=B123),ROUND(F124-F123,6),"")</x:f>
        <x:v>0.383334</x:v>
      </x:c>
      <x:c r="I124" s="56" t="str">
        <x:v>有效回合</x:v>
      </x:c>
    </x:row>
    <x:row r="125">
      <x:c r="A125" s="53" t="n">
        <x:v>124</x:v>
      </x:c>
      <x:c r="B125" s="53" t="n">
        <x:v>33</x:v>
      </x:c>
      <x:c r="C125" s="53" t="n">
        <x:v>1</x:v>
      </x:c>
      <x:c r="D125" s="53" t="n">
        <x:v>15046</x:v>
      </x:c>
      <x:c r="E125" s="54" t="n">
        <x:f>F125/86400</x:f>
        <x:v>0.002902391979166667</x:v>
      </x:c>
      <x:c r="F125" s="55" t="n">
        <x:f>ROUND(D125/'概览'!$B$6,6)</x:f>
        <x:v>250.766667</x:v>
      </x:c>
      <x:c r="G125" s="55" t="n">
        <x:f>ROUND(F125-F124,6)</x:f>
        <x:v>6.45</x:v>
      </x:c>
      <x:c r="H125" s="55" t="str">
        <x:f>IF(AND(B125&lt;&gt;"",B125=B124),ROUND(F125-F124,6),"")</x:f>
      </x:c>
      <x:c r="I125" s="56" t="str">
        <x:v>有效回合</x:v>
      </x:c>
    </x:row>
    <x:row r="126">
      <x:c r="A126" s="53" t="n">
        <x:v>125</x:v>
      </x:c>
      <x:c r="B126" s="53" t="n">
        <x:v>33</x:v>
      </x:c>
      <x:c r="C126" s="53" t="n">
        <x:v>2</x:v>
      </x:c>
      <x:c r="D126" s="53" t="n">
        <x:v>15139</x:v>
      </x:c>
      <x:c r="E126" s="54" t="n">
        <x:f>F126/86400</x:f>
        <x:v>0.0029203317939814812</x:v>
      </x:c>
      <x:c r="F126" s="55" t="n">
        <x:f>ROUND(D126/'概览'!$B$6,6)</x:f>
        <x:v>252.316667</x:v>
      </x:c>
      <x:c r="G126" s="55" t="n">
        <x:f>ROUND(F126-F125,6)</x:f>
        <x:v>1.55</x:v>
      </x:c>
      <x:c r="H126" s="55" t="n">
        <x:f>IF(AND(B126&lt;&gt;"",B126=B125),ROUND(F126-F125,6),"")</x:f>
        <x:v>1.55</x:v>
      </x:c>
      <x:c r="I126" s="56" t="str">
        <x:v>有效回合</x:v>
      </x:c>
    </x:row>
    <x:row r="127">
      <x:c r="A127" s="53" t="n">
        <x:v>126</x:v>
      </x:c>
      <x:c r="B127" s="53" t="n">
        <x:v>34</x:v>
      </x:c>
      <x:c r="C127" s="53" t="n">
        <x:v>1</x:v>
      </x:c>
      <x:c r="D127" s="53" t="n">
        <x:v>15543</x:v>
      </x:c>
      <x:c r="E127" s="54" t="n">
        <x:f>F127/86400</x:f>
        <x:v>0.002998263888888889</x:v>
      </x:c>
      <x:c r="F127" s="55" t="n">
        <x:f>ROUND(D127/'概览'!$B$6,6)</x:f>
        <x:v>259.05</x:v>
      </x:c>
      <x:c r="G127" s="55" t="n">
        <x:f>ROUND(F127-F126,6)</x:f>
        <x:v>6.733333</x:v>
      </x:c>
      <x:c r="H127" s="55" t="str">
        <x:f>IF(AND(B127&lt;&gt;"",B127=B126),ROUND(F127-F126,6),"")</x:f>
      </x:c>
      <x:c r="I127" s="56" t="str">
        <x:v>有效回合</x:v>
      </x:c>
    </x:row>
    <x:row r="128">
      <x:c r="A128" s="53" t="n">
        <x:v>127</x:v>
      </x:c>
      <x:c r="B128" s="53" t="n">
        <x:v>34</x:v>
      </x:c>
      <x:c r="C128" s="53" t="n">
        <x:v>2</x:v>
      </x:c>
      <x:c r="D128" s="53" t="n">
        <x:v>15587</x:v>
      </x:c>
      <x:c r="E128" s="54" t="n">
        <x:f>F128/86400</x:f>
        <x:v>0.003006751539351852</x:v>
      </x:c>
      <x:c r="F128" s="55" t="n">
        <x:f>ROUND(D128/'概览'!$B$6,6)</x:f>
        <x:v>259.783333</x:v>
      </x:c>
      <x:c r="G128" s="55" t="n">
        <x:f>ROUND(F128-F127,6)</x:f>
        <x:v>0.733333</x:v>
      </x:c>
      <x:c r="H128" s="55" t="n">
        <x:f>IF(AND(B128&lt;&gt;"",B128=B127),ROUND(F128-F127,6),"")</x:f>
        <x:v>0.733333</x:v>
      </x:c>
      <x:c r="I128" s="56" t="str">
        <x:v>有效回合</x:v>
      </x:c>
    </x:row>
    <x:row r="129">
      <x:c r="A129" s="53" t="n">
        <x:v>128</x:v>
      </x:c>
      <x:c r="B129" s="53" t="n">
        <x:v>34</x:v>
      </x:c>
      <x:c r="C129" s="53" t="n">
        <x:v>3</x:v>
      </x:c>
      <x:c r="D129" s="53" t="n">
        <x:v>15644</x:v>
      </x:c>
      <x:c r="E129" s="54" t="n">
        <x:f>F129/86400</x:f>
        <x:v>0.0030177469097222224</x:v>
      </x:c>
      <x:c r="F129" s="55" t="n">
        <x:f>ROUND(D129/'概览'!$B$6,6)</x:f>
        <x:v>260.733333</x:v>
      </x:c>
      <x:c r="G129" s="55" t="n">
        <x:f>ROUND(F129-F128,6)</x:f>
        <x:v>0.95</x:v>
      </x:c>
      <x:c r="H129" s="55" t="n">
        <x:f>IF(AND(B129&lt;&gt;"",B129=B128),ROUND(F129-F128,6),"")</x:f>
        <x:v>0.95</x:v>
      </x:c>
      <x:c r="I129" s="56" t="str">
        <x:v>有效回合</x:v>
      </x:c>
    </x:row>
    <x:row r="130">
      <x:c r="A130" s="53" t="n">
        <x:v>129</x:v>
      </x:c>
      <x:c r="B130" s="53" t="n">
        <x:v>35</x:v>
      </x:c>
      <x:c r="C130" s="53" t="n">
        <x:v>1</x:v>
      </x:c>
      <x:c r="D130" s="53" t="n">
        <x:v>16052</x:v>
      </x:c>
      <x:c r="E130" s="54" t="n">
        <x:f>F130/86400</x:f>
        <x:v>0.003096450613425926</x:v>
      </x:c>
      <x:c r="F130" s="55" t="n">
        <x:f>ROUND(D130/'概览'!$B$6,6)</x:f>
        <x:v>267.533333</x:v>
      </x:c>
      <x:c r="G130" s="55" t="n">
        <x:f>ROUND(F130-F129,6)</x:f>
        <x:v>6.8</x:v>
      </x:c>
      <x:c r="H130" s="55" t="str">
        <x:f>IF(AND(B130&lt;&gt;"",B130=B129),ROUND(F130-F129,6),"")</x:f>
      </x:c>
      <x:c r="I130" s="56" t="str">
        <x:v>有效回合</x:v>
      </x:c>
    </x:row>
    <x:row r="131">
      <x:c r="A131" s="53" t="n">
        <x:v>130</x:v>
      </x:c>
      <x:c r="B131" s="53" t="n">
        <x:v>35</x:v>
      </x:c>
      <x:c r="C131" s="53" t="n">
        <x:v>2</x:v>
      </x:c>
      <x:c r="D131" s="53" t="n">
        <x:v>16122</x:v>
      </x:c>
      <x:c r="E131" s="54" t="n">
        <x:f>F131/86400</x:f>
        <x:v>0.0031099537037037038</x:v>
      </x:c>
      <x:c r="F131" s="55" t="n">
        <x:f>ROUND(D131/'概览'!$B$6,6)</x:f>
        <x:v>268.7</x:v>
      </x:c>
      <x:c r="G131" s="55" t="n">
        <x:f>ROUND(F131-F130,6)</x:f>
        <x:v>1.166667</x:v>
      </x:c>
      <x:c r="H131" s="55" t="n">
        <x:f>IF(AND(B131&lt;&gt;"",B131=B130),ROUND(F131-F130,6),"")</x:f>
        <x:v>1.166667</x:v>
      </x:c>
      <x:c r="I131" s="56" t="str">
        <x:v>有效回合</x:v>
      </x:c>
    </x:row>
    <x:row r="132">
      <x:c r="A132" s="53" t="n">
        <x:v>131</x:v>
      </x:c>
      <x:c r="B132" s="53"/>
      <x:c r="C132" s="53"/>
      <x:c r="D132" s="53" t="n">
        <x:v>16516</x:v>
      </x:c>
      <x:c r="E132" s="54" t="n">
        <x:f>F132/86400</x:f>
        <x:v>0.0031859567939814815</x:v>
      </x:c>
      <x:c r="F132" s="55" t="n">
        <x:f>ROUND(D132/'概览'!$B$6,6)</x:f>
        <x:v>275.266667</x:v>
      </x:c>
      <x:c r="G132" s="55" t="n">
        <x:f>ROUND(F132-F131,6)</x:f>
        <x:v>6.566667</x:v>
      </x:c>
      <x:c r="H132" s="55" t="str">
        <x:f>IF(AND(B132&lt;&gt;"",B132=B131),ROUND(F132-F131,6),"")</x:f>
      </x:c>
      <x:c r="I132" s="56" t="str">
        <x:v>孤立候选</x:v>
      </x:c>
    </x:row>
    <x:row r="133">
      <x:c r="A133" s="53" t="n">
        <x:v>132</x:v>
      </x:c>
      <x:c r="B133" s="53" t="n">
        <x:v>36</x:v>
      </x:c>
      <x:c r="C133" s="53" t="n">
        <x:v>1</x:v>
      </x:c>
      <x:c r="D133" s="53" t="n">
        <x:v>16781</x:v>
      </x:c>
      <x:c r="E133" s="54" t="n">
        <x:f>F133/86400</x:f>
        <x:v>0.003237075613425926</x:v>
      </x:c>
      <x:c r="F133" s="55" t="n">
        <x:f>ROUND(D133/'概览'!$B$6,6)</x:f>
        <x:v>279.683333</x:v>
      </x:c>
      <x:c r="G133" s="55" t="n">
        <x:f>ROUND(F133-F132,6)</x:f>
        <x:v>4.416666</x:v>
      </x:c>
      <x:c r="H133" s="55" t="str">
        <x:f>IF(AND(B133&lt;&gt;"",B133=B132),ROUND(F133-F132,6),"")</x:f>
      </x:c>
      <x:c r="I133" s="56" t="str">
        <x:v>有效回合</x:v>
      </x:c>
    </x:row>
    <x:row r="134">
      <x:c r="A134" s="53" t="n">
        <x:v>133</x:v>
      </x:c>
      <x:c r="B134" s="53" t="n">
        <x:v>36</x:v>
      </x:c>
      <x:c r="C134" s="53" t="n">
        <x:v>2</x:v>
      </x:c>
      <x:c r="D134" s="53" t="n">
        <x:v>16847</x:v>
      </x:c>
      <x:c r="E134" s="54" t="n">
        <x:f>F134/86400</x:f>
        <x:v>0.003249807094907408</x:v>
      </x:c>
      <x:c r="F134" s="55" t="n">
        <x:f>ROUND(D134/'概览'!$B$6,6)</x:f>
        <x:v>280.783333</x:v>
      </x:c>
      <x:c r="G134" s="55" t="n">
        <x:f>ROUND(F134-F133,6)</x:f>
        <x:v>1.1</x:v>
      </x:c>
      <x:c r="H134" s="55" t="n">
        <x:f>IF(AND(B134&lt;&gt;"",B134=B133),ROUND(F134-F133,6),"")</x:f>
        <x:v>1.1</x:v>
      </x:c>
      <x:c r="I134" s="56" t="str">
        <x:v>有效回合</x:v>
      </x:c>
    </x:row>
    <x:row r="135">
      <x:c r="A135" s="53" t="n">
        <x:v>134</x:v>
      </x:c>
      <x:c r="B135" s="53" t="n">
        <x:v>36</x:v>
      </x:c>
      <x:c r="C135" s="53" t="n">
        <x:v>3</x:v>
      </x:c>
      <x:c r="D135" s="53" t="n">
        <x:v>16894</x:v>
      </x:c>
      <x:c r="E135" s="54" t="n">
        <x:f>F135/86400</x:f>
        <x:v>0.003258873460648148</x:v>
      </x:c>
      <x:c r="F135" s="55" t="n">
        <x:f>ROUND(D135/'概览'!$B$6,6)</x:f>
        <x:v>281.566667</x:v>
      </x:c>
      <x:c r="G135" s="55" t="n">
        <x:f>ROUND(F135-F134,6)</x:f>
        <x:v>0.783334</x:v>
      </x:c>
      <x:c r="H135" s="55" t="n">
        <x:f>IF(AND(B135&lt;&gt;"",B135=B134),ROUND(F135-F134,6),"")</x:f>
        <x:v>0.783334</x:v>
      </x:c>
      <x:c r="I135" s="56" t="str">
        <x:v>有效回合</x:v>
      </x:c>
    </x:row>
    <x:row r="136">
      <x:c r="A136" s="53" t="n">
        <x:v>135</x:v>
      </x:c>
      <x:c r="B136" s="53" t="n">
        <x:v>36</x:v>
      </x:c>
      <x:c r="C136" s="53" t="n">
        <x:v>4</x:v>
      </x:c>
      <x:c r="D136" s="53" t="n">
        <x:v>16937</x:v>
      </x:c>
      <x:c r="E136" s="54" t="n">
        <x:f>F136/86400</x:f>
        <x:v>0.0032671682060185186</x:v>
      </x:c>
      <x:c r="F136" s="55" t="n">
        <x:f>ROUND(D136/'概览'!$B$6,6)</x:f>
        <x:v>282.283333</x:v>
      </x:c>
      <x:c r="G136" s="55" t="n">
        <x:f>ROUND(F136-F135,6)</x:f>
        <x:v>0.716666</x:v>
      </x:c>
      <x:c r="H136" s="55" t="n">
        <x:f>IF(AND(B136&lt;&gt;"",B136=B135),ROUND(F136-F135,6),"")</x:f>
        <x:v>0.716666</x:v>
      </x:c>
      <x:c r="I136" s="56" t="str">
        <x:v>有效回合</x:v>
      </x:c>
    </x:row>
    <x:row r="137">
      <x:c r="A137" s="53" t="n">
        <x:v>136</x:v>
      </x:c>
      <x:c r="B137" s="53" t="n">
        <x:v>36</x:v>
      </x:c>
      <x:c r="C137" s="53" t="n">
        <x:v>5</x:v>
      </x:c>
      <x:c r="D137" s="53" t="n">
        <x:v>16978</x:v>
      </x:c>
      <x:c r="E137" s="54" t="n">
        <x:f>F137/86400</x:f>
        <x:v>0.0032750771643518515</x:v>
      </x:c>
      <x:c r="F137" s="55" t="n">
        <x:f>ROUND(D137/'概览'!$B$6,6)</x:f>
        <x:v>282.966667</x:v>
      </x:c>
      <x:c r="G137" s="55" t="n">
        <x:f>ROUND(F137-F136,6)</x:f>
        <x:v>0.683334</x:v>
      </x:c>
      <x:c r="H137" s="55" t="n">
        <x:f>IF(AND(B137&lt;&gt;"",B137=B136),ROUND(F137-F136,6),"")</x:f>
        <x:v>0.683334</x:v>
      </x:c>
      <x:c r="I137" s="56" t="str">
        <x:v>有效回合</x:v>
      </x:c>
    </x:row>
    <x:row r="138">
      <x:c r="A138" s="53" t="n">
        <x:v>137</x:v>
      </x:c>
      <x:c r="B138" s="53" t="n">
        <x:v>37</x:v>
      </x:c>
      <x:c r="C138" s="53" t="n">
        <x:v>1</x:v>
      </x:c>
      <x:c r="D138" s="53" t="n">
        <x:v>17195</x:v>
      </x:c>
      <x:c r="E138" s="54" t="n">
        <x:f>F138/86400</x:f>
        <x:v>0.0033169367245370366</x:v>
      </x:c>
      <x:c r="F138" s="55" t="n">
        <x:f>ROUND(D138/'概览'!$B$6,6)</x:f>
        <x:v>286.583333</x:v>
      </x:c>
      <x:c r="G138" s="55" t="n">
        <x:f>ROUND(F138-F137,6)</x:f>
        <x:v>3.616666</x:v>
      </x:c>
      <x:c r="H138" s="55" t="str">
        <x:f>IF(AND(B138&lt;&gt;"",B138=B137),ROUND(F138-F137,6),"")</x:f>
      </x:c>
      <x:c r="I138" s="56" t="str">
        <x:v>有效回合</x:v>
      </x:c>
    </x:row>
    <x:row r="139">
      <x:c r="A139" s="53" t="n">
        <x:v>138</x:v>
      </x:c>
      <x:c r="B139" s="53" t="n">
        <x:v>37</x:v>
      </x:c>
      <x:c r="C139" s="53" t="n">
        <x:v>2</x:v>
      </x:c>
      <x:c r="D139" s="53" t="n">
        <x:v>17288</x:v>
      </x:c>
      <x:c r="E139" s="54" t="n">
        <x:f>F139/86400</x:f>
        <x:v>0.003334876539351852</x:v>
      </x:c>
      <x:c r="F139" s="55" t="n">
        <x:f>ROUND(D139/'概览'!$B$6,6)</x:f>
        <x:v>288.133333</x:v>
      </x:c>
      <x:c r="G139" s="55" t="n">
        <x:f>ROUND(F139-F138,6)</x:f>
        <x:v>1.55</x:v>
      </x:c>
      <x:c r="H139" s="55" t="n">
        <x:f>IF(AND(B139&lt;&gt;"",B139=B138),ROUND(F139-F138,6),"")</x:f>
        <x:v>1.55</x:v>
      </x:c>
      <x:c r="I139" s="56" t="str">
        <x:v>有效回合</x:v>
      </x:c>
    </x:row>
    <x:row r="140">
      <x:c r="A140" s="53" t="n">
        <x:v>139</x:v>
      </x:c>
      <x:c r="B140" s="53" t="n">
        <x:v>38</x:v>
      </x:c>
      <x:c r="C140" s="53" t="n">
        <x:v>1</x:v>
      </x:c>
      <x:c r="D140" s="53" t="n">
        <x:v>17669</x:v>
      </x:c>
      <x:c r="E140" s="54" t="n">
        <x:f>F140/86400</x:f>
        <x:v>0.0034083719097222223</x:v>
      </x:c>
      <x:c r="F140" s="55" t="n">
        <x:f>ROUND(D140/'概览'!$B$6,6)</x:f>
        <x:v>294.483333</x:v>
      </x:c>
      <x:c r="G140" s="55" t="n">
        <x:f>ROUND(F140-F139,6)</x:f>
        <x:v>6.35</x:v>
      </x:c>
      <x:c r="H140" s="55" t="str">
        <x:f>IF(AND(B140&lt;&gt;"",B140=B139),ROUND(F140-F139,6),"")</x:f>
      </x:c>
      <x:c r="I140" s="56" t="str">
        <x:v>有效回合</x:v>
      </x:c>
    </x:row>
    <x:row r="141">
      <x:c r="A141" s="53" t="n">
        <x:v>140</x:v>
      </x:c>
      <x:c r="B141" s="53" t="n">
        <x:v>38</x:v>
      </x:c>
      <x:c r="C141" s="53" t="n">
        <x:v>2</x:v>
      </x:c>
      <x:c r="D141" s="53" t="n">
        <x:v>17693</x:v>
      </x:c>
      <x:c r="E141" s="54" t="n">
        <x:f>F141/86400</x:f>
        <x:v>0.003413001539351852</x:v>
      </x:c>
      <x:c r="F141" s="55" t="n">
        <x:f>ROUND(D141/'概览'!$B$6,6)</x:f>
        <x:v>294.883333</x:v>
      </x:c>
      <x:c r="G141" s="55" t="n">
        <x:f>ROUND(F141-F140,6)</x:f>
        <x:v>0.4</x:v>
      </x:c>
      <x:c r="H141" s="55" t="n">
        <x:f>IF(AND(B141&lt;&gt;"",B141=B140),ROUND(F141-F140,6),"")</x:f>
        <x:v>0.4</x:v>
      </x:c>
      <x:c r="I141" s="56" t="str">
        <x:v>有效回合</x:v>
      </x:c>
    </x:row>
    <x:row r="142">
      <x:c r="A142" s="53" t="n">
        <x:v>141</x:v>
      </x:c>
      <x:c r="B142" s="53" t="n">
        <x:v>38</x:v>
      </x:c>
      <x:c r="C142" s="53" t="n">
        <x:v>3</x:v>
      </x:c>
      <x:c r="D142" s="53" t="n">
        <x:v>17727</x:v>
      </x:c>
      <x:c r="E142" s="54" t="n">
        <x:f>F142/86400</x:f>
        <x:v>0.003419560185185185</x:v>
      </x:c>
      <x:c r="F142" s="55" t="n">
        <x:f>ROUND(D142/'概览'!$B$6,6)</x:f>
        <x:v>295.45</x:v>
      </x:c>
      <x:c r="G142" s="55" t="n">
        <x:f>ROUND(F142-F141,6)</x:f>
        <x:v>0.566667</x:v>
      </x:c>
      <x:c r="H142" s="55" t="n">
        <x:f>IF(AND(B142&lt;&gt;"",B142=B141),ROUND(F142-F141,6),"")</x:f>
        <x:v>0.566667</x:v>
      </x:c>
      <x:c r="I142" s="56" t="str">
        <x:v>有效回合</x:v>
      </x:c>
    </x:row>
    <x:row r="143">
      <x:c r="A143" s="53" t="n">
        <x:v>142</x:v>
      </x:c>
      <x:c r="B143" s="53" t="n">
        <x:v>38</x:v>
      </x:c>
      <x:c r="C143" s="53" t="n">
        <x:v>4</x:v>
      </x:c>
      <x:c r="D143" s="53" t="n">
        <x:v>17749</x:v>
      </x:c>
      <x:c r="E143" s="54" t="n">
        <x:f>F143/86400</x:f>
        <x:v>0.0034238040162037037</x:v>
      </x:c>
      <x:c r="F143" s="55" t="n">
        <x:f>ROUND(D143/'概览'!$B$6,6)</x:f>
        <x:v>295.816667</x:v>
      </x:c>
      <x:c r="G143" s="55" t="n">
        <x:f>ROUND(F143-F142,6)</x:f>
        <x:v>0.366667</x:v>
      </x:c>
      <x:c r="H143" s="55" t="n">
        <x:f>IF(AND(B143&lt;&gt;"",B143=B142),ROUND(F143-F142,6),"")</x:f>
        <x:v>0.366667</x:v>
      </x:c>
      <x:c r="I143" s="56" t="str">
        <x:v>有效回合</x:v>
      </x:c>
    </x:row>
    <x:row r="144">
      <x:c r="A144" s="53" t="n">
        <x:v>143</x:v>
      </x:c>
      <x:c r="B144" s="53" t="n">
        <x:v>38</x:v>
      </x:c>
      <x:c r="C144" s="53" t="n">
        <x:v>5</x:v>
      </x:c>
      <x:c r="D144" s="53" t="n">
        <x:v>17809</x:v>
      </x:c>
      <x:c r="E144" s="54" t="n">
        <x:f>F144/86400</x:f>
        <x:v>0.0034353780902777777</x:v>
      </x:c>
      <x:c r="F144" s="55" t="n">
        <x:f>ROUND(D144/'概览'!$B$6,6)</x:f>
        <x:v>296.816667</x:v>
      </x:c>
      <x:c r="G144" s="55" t="n">
        <x:f>ROUND(F144-F143,6)</x:f>
        <x:v>1</x:v>
      </x:c>
      <x:c r="H144" s="55" t="n">
        <x:f>IF(AND(B144&lt;&gt;"",B144=B143),ROUND(F144-F143,6),"")</x:f>
        <x:v>1</x:v>
      </x:c>
      <x:c r="I144" s="56" t="str">
        <x:v>有效回合</x:v>
      </x:c>
    </x:row>
    <x:row r="145">
      <x:c r="A145" s="53" t="n">
        <x:v>144</x:v>
      </x:c>
      <x:c r="B145" s="53" t="n">
        <x:v>39</x:v>
      </x:c>
      <x:c r="C145" s="53" t="n">
        <x:v>1</x:v>
      </x:c>
      <x:c r="D145" s="53" t="n">
        <x:v>18113</x:v>
      </x:c>
      <x:c r="E145" s="54" t="n">
        <x:f>F145/86400</x:f>
        <x:v>0.0034940200578703704</x:v>
      </x:c>
      <x:c r="F145" s="55" t="n">
        <x:f>ROUND(D145/'概览'!$B$6,6)</x:f>
        <x:v>301.883333</x:v>
      </x:c>
      <x:c r="G145" s="55" t="n">
        <x:f>ROUND(F145-F144,6)</x:f>
        <x:v>5.066666</x:v>
      </x:c>
      <x:c r="H145" s="55" t="str">
        <x:f>IF(AND(B145&lt;&gt;"",B145=B144),ROUND(F145-F144,6),"")</x:f>
      </x:c>
      <x:c r="I145" s="56" t="str">
        <x:v>有效回合</x:v>
      </x:c>
    </x:row>
    <x:row r="146">
      <x:c r="A146" s="53" t="n">
        <x:v>145</x:v>
      </x:c>
      <x:c r="B146" s="53" t="n">
        <x:v>39</x:v>
      </x:c>
      <x:c r="C146" s="53" t="n">
        <x:v>2</x:v>
      </x:c>
      <x:c r="D146" s="53" t="n">
        <x:v>18140</x:v>
      </x:c>
      <x:c r="E146" s="54" t="n">
        <x:f>F146/86400</x:f>
        <x:v>0.0034992283912037036</x:v>
      </x:c>
      <x:c r="F146" s="55" t="n">
        <x:f>ROUND(D146/'概览'!$B$6,6)</x:f>
        <x:v>302.333333</x:v>
      </x:c>
      <x:c r="G146" s="55" t="n">
        <x:f>ROUND(F146-F145,6)</x:f>
        <x:v>0.45</x:v>
      </x:c>
      <x:c r="H146" s="55" t="n">
        <x:f>IF(AND(B146&lt;&gt;"",B146=B145),ROUND(F146-F145,6),"")</x:f>
        <x:v>0.45</x:v>
      </x:c>
      <x:c r="I146" s="56" t="str">
        <x:v>有效回合</x:v>
      </x:c>
    </x:row>
    <x:row r="147">
      <x:c r="A147" s="53" t="n">
        <x:v>146</x:v>
      </x:c>
      <x:c r="B147" s="53" t="n">
        <x:v>39</x:v>
      </x:c>
      <x:c r="C147" s="53" t="n">
        <x:v>3</x:v>
      </x:c>
      <x:c r="D147" s="53" t="n">
        <x:v>18164</x:v>
      </x:c>
      <x:c r="E147" s="54" t="n">
        <x:f>F147/86400</x:f>
        <x:v>0.0035038580208333336</x:v>
      </x:c>
      <x:c r="F147" s="55" t="n">
        <x:f>ROUND(D147/'概览'!$B$6,6)</x:f>
        <x:v>302.733333</x:v>
      </x:c>
      <x:c r="G147" s="55" t="n">
        <x:f>ROUND(F147-F146,6)</x:f>
        <x:v>0.4</x:v>
      </x:c>
      <x:c r="H147" s="55" t="n">
        <x:f>IF(AND(B147&lt;&gt;"",B147=B146),ROUND(F147-F146,6),"")</x:f>
        <x:v>0.4</x:v>
      </x:c>
      <x:c r="I147" s="56" t="str">
        <x:v>有效回合</x:v>
      </x:c>
    </x:row>
    <x:row r="148">
      <x:c r="A148" s="53" t="n">
        <x:v>147</x:v>
      </x:c>
      <x:c r="B148" s="53" t="n">
        <x:v>40</x:v>
      </x:c>
      <x:c r="C148" s="53" t="n">
        <x:v>1</x:v>
      </x:c>
      <x:c r="D148" s="53" t="n">
        <x:v>18498</x:v>
      </x:c>
      <x:c r="E148" s="54" t="n">
        <x:f>F148/86400</x:f>
        <x:v>0.0035682870370370373</x:v>
      </x:c>
      <x:c r="F148" s="55" t="n">
        <x:f>ROUND(D148/'概览'!$B$6,6)</x:f>
        <x:v>308.3</x:v>
      </x:c>
      <x:c r="G148" s="55" t="n">
        <x:f>ROUND(F148-F147,6)</x:f>
        <x:v>5.566667</x:v>
      </x:c>
      <x:c r="H148" s="55" t="str">
        <x:f>IF(AND(B148&lt;&gt;"",B148=B147),ROUND(F148-F147,6),"")</x:f>
      </x:c>
      <x:c r="I148" s="56" t="str">
        <x:v>有效回合</x:v>
      </x:c>
    </x:row>
    <x:row r="149">
      <x:c r="A149" s="53" t="n">
        <x:v>148</x:v>
      </x:c>
      <x:c r="B149" s="53" t="n">
        <x:v>40</x:v>
      </x:c>
      <x:c r="C149" s="53" t="n">
        <x:v>2</x:v>
      </x:c>
      <x:c r="D149" s="53" t="n">
        <x:v>18520</x:v>
      </x:c>
      <x:c r="E149" s="54" t="n">
        <x:f>F149/86400</x:f>
        <x:v>0.003572530868055556</x:v>
      </x:c>
      <x:c r="F149" s="55" t="n">
        <x:f>ROUND(D149/'概览'!$B$6,6)</x:f>
        <x:v>308.666667</x:v>
      </x:c>
      <x:c r="G149" s="55" t="n">
        <x:f>ROUND(F149-F148,6)</x:f>
        <x:v>0.366667</x:v>
      </x:c>
      <x:c r="H149" s="55" t="n">
        <x:f>IF(AND(B149&lt;&gt;"",B149=B148),ROUND(F149-F148,6),"")</x:f>
        <x:v>0.366667</x:v>
      </x:c>
      <x:c r="I149" s="56" t="str">
        <x:v>有效回合</x:v>
      </x:c>
    </x:row>
    <x:row r="150">
      <x:c r="A150" s="53" t="n">
        <x:v>149</x:v>
      </x:c>
      <x:c r="B150" s="53" t="n">
        <x:v>40</x:v>
      </x:c>
      <x:c r="C150" s="53" t="n">
        <x:v>3</x:v>
      </x:c>
      <x:c r="D150" s="53" t="n">
        <x:v>18561</x:v>
      </x:c>
      <x:c r="E150" s="54" t="n">
        <x:f>F150/86400</x:f>
        <x:v>0.003580439814814815</x:v>
      </x:c>
      <x:c r="F150" s="55" t="n">
        <x:f>ROUND(D150/'概览'!$B$6,6)</x:f>
        <x:v>309.35</x:v>
      </x:c>
      <x:c r="G150" s="55" t="n">
        <x:f>ROUND(F150-F149,6)</x:f>
        <x:v>0.683333</x:v>
      </x:c>
      <x:c r="H150" s="55" t="n">
        <x:f>IF(AND(B150&lt;&gt;"",B150=B149),ROUND(F150-F149,6),"")</x:f>
        <x:v>0.683333</x:v>
      </x:c>
      <x:c r="I150" s="56" t="str">
        <x:v>有效回合</x:v>
      </x:c>
    </x:row>
    <x:row r="151">
      <x:c r="A151" s="57" t="n">
        <x:v>150</x:v>
      </x:c>
      <x:c r="B151" s="57" t="n">
        <x:v>40</x:v>
      </x:c>
      <x:c r="C151" s="57" t="n">
        <x:v>4</x:v>
      </x:c>
      <x:c r="D151" s="57" t="n">
        <x:v>18606</x:v>
      </x:c>
      <x:c r="E151" s="58" t="n">
        <x:f>F151/86400</x:f>
        <x:v>0.0035891203703703706</x:v>
      </x:c>
      <x:c r="F151" s="59" t="n">
        <x:f>ROUND(D151/'概览'!$B$6,6)</x:f>
        <x:v>310.1</x:v>
      </x:c>
      <x:c r="G151" s="59" t="n">
        <x:f>ROUND(F151-F150,6)</x:f>
        <x:v>0.75</x:v>
      </x:c>
      <x:c r="H151" s="59" t="n">
        <x:f>IF(AND(B151&lt;&gt;"",B151=B150),ROUND(F151-F150,6),"")</x:f>
        <x:v>0.75</x:v>
      </x:c>
      <x:c r="I151" s="60" t="str">
        <x:v>有效回合</x:v>
      </x:c>
    </x:row>
  </x:sheetData>
  <x:conditionalFormatting sqref="H2:H151">
    <x:cfRule type="cellIs" dxfId="0" priority="1" operator="lessThan">
      <x:formula>'概览'!$B$11</x:formula>
    </x:cfRule>
  </x:conditionalFormatting>
  <x:conditionalFormatting sqref="I2:I151">
    <x:cfRule type="containsText" dxfId="1" priority="2" operator="containsText" text="孤立候选"/>
  </x:conditionalFormatting>
  <x:pageMargins left="0.7" right="0.7" top="0.75" bottom="0.75" header="0.3" footer="0.3"/>
  <x:tableParts count="1">
    <x:tablePart xmlns:r="http://schemas.openxmlformats.org/officeDocument/2006/relationships" r:id="R7dc70d79aac645b7"/>
  </x:tableParts>
</x:worksheet>
</file>